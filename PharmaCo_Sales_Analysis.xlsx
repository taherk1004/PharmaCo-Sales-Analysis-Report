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tahuk\Downloads\"/>
    </mc:Choice>
  </mc:AlternateContent>
  <xr:revisionPtr revIDLastSave="0" documentId="13_ncr:1_{03230B44-7016-454A-BB60-3A48EC7BBAE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ales Data" sheetId="1" r:id="rId1"/>
    <sheet name="Revenue Analysis" sheetId="2" r:id="rId2"/>
    <sheet name="KPI Dashboard" sheetId="3" r:id="rId3"/>
    <sheet name="_Lists" sheetId="5" state="hidden" r:id="rId4"/>
  </sheets>
  <definedNames>
    <definedName name="_xlnm._FilterDatabase" localSheetId="0" hidden="1">'Sales Data'!$A$1:$M$121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5" i="2"/>
  <c r="B15" i="2"/>
</calcChain>
</file>

<file path=xl/sharedStrings.xml><?xml version="1.0" encoding="utf-8"?>
<sst xmlns="http://schemas.openxmlformats.org/spreadsheetml/2006/main" count="958" uniqueCount="208">
  <si>
    <t>Sale ID</t>
  </si>
  <si>
    <t>Date</t>
  </si>
  <si>
    <t>Month</t>
  </si>
  <si>
    <t>Quarter</t>
  </si>
  <si>
    <t>Product</t>
  </si>
  <si>
    <t>Region</t>
  </si>
  <si>
    <t>Channel</t>
  </si>
  <si>
    <t>Sales Rep</t>
  </si>
  <si>
    <t>Units Sold</t>
  </si>
  <si>
    <t>Unit Price (₹)</t>
  </si>
  <si>
    <t>Discount %</t>
  </si>
  <si>
    <t>Revenue (₹)</t>
  </si>
  <si>
    <t>COGS (₹)</t>
  </si>
  <si>
    <t>PH-1002</t>
  </si>
  <si>
    <t>January</t>
  </si>
  <si>
    <t>Q1</t>
  </si>
  <si>
    <t>Oncoshield 100mg</t>
  </si>
  <si>
    <t>South</t>
  </si>
  <si>
    <t>Government</t>
  </si>
  <si>
    <t>Kiran Desai</t>
  </si>
  <si>
    <t>PH-1051</t>
  </si>
  <si>
    <t>Neuralox 5mg</t>
  </si>
  <si>
    <t>West</t>
  </si>
  <si>
    <t>Clinic</t>
  </si>
  <si>
    <t>Arjun Nair</t>
  </si>
  <si>
    <t>PH-1044</t>
  </si>
  <si>
    <t>Diabetrol 500mg</t>
  </si>
  <si>
    <t>Central</t>
  </si>
  <si>
    <t>Priya Mehta</t>
  </si>
  <si>
    <t>PH-1101</t>
  </si>
  <si>
    <t>Respiclear 200mg</t>
  </si>
  <si>
    <t>Hospital</t>
  </si>
  <si>
    <t>Nisha Gupta</t>
  </si>
  <si>
    <t>PH-1058</t>
  </si>
  <si>
    <t>North</t>
  </si>
  <si>
    <t>PH-1119</t>
  </si>
  <si>
    <t>Cardivex 10mg</t>
  </si>
  <si>
    <t>Ananya Rao</t>
  </si>
  <si>
    <t>PH-1059</t>
  </si>
  <si>
    <t>PH-1032</t>
  </si>
  <si>
    <t>Cardivex 20mg</t>
  </si>
  <si>
    <t>Vikram Singh</t>
  </si>
  <si>
    <t>PH-1111</t>
  </si>
  <si>
    <t>PH-1034</t>
  </si>
  <si>
    <t>Immunovax Pro</t>
  </si>
  <si>
    <t>Online</t>
  </si>
  <si>
    <t>PH-1001</t>
  </si>
  <si>
    <t>PH-1102</t>
  </si>
  <si>
    <t>PH-1089</t>
  </si>
  <si>
    <t>February</t>
  </si>
  <si>
    <t>East</t>
  </si>
  <si>
    <t>Raj Sharma</t>
  </si>
  <si>
    <t>PH-1110</t>
  </si>
  <si>
    <t>PH-1074</t>
  </si>
  <si>
    <t>PH-1063</t>
  </si>
  <si>
    <t>PH-1030</t>
  </si>
  <si>
    <t>PH-1046</t>
  </si>
  <si>
    <t>PH-1015</t>
  </si>
  <si>
    <t>Amit Patel</t>
  </si>
  <si>
    <t>PH-1062</t>
  </si>
  <si>
    <t>March</t>
  </si>
  <si>
    <t>PH-1080</t>
  </si>
  <si>
    <t>Diabetrol 1000mg</t>
  </si>
  <si>
    <t>PH-1084</t>
  </si>
  <si>
    <t>PH-1097</t>
  </si>
  <si>
    <t>PH-1040</t>
  </si>
  <si>
    <t>Retail Pharmacy</t>
  </si>
  <si>
    <t>PH-1037</t>
  </si>
  <si>
    <t>PH-1053</t>
  </si>
  <si>
    <t>Neuralox 10mg</t>
  </si>
  <si>
    <t>PH-1114</t>
  </si>
  <si>
    <t>PH-1042</t>
  </si>
  <si>
    <t>April</t>
  </si>
  <si>
    <t>Q2</t>
  </si>
  <si>
    <t>PH-1028</t>
  </si>
  <si>
    <t>Suresh Kumar</t>
  </si>
  <si>
    <t>PH-1073</t>
  </si>
  <si>
    <t>PH-1024</t>
  </si>
  <si>
    <t>PH-1064</t>
  </si>
  <si>
    <t>Sneha Joshi</t>
  </si>
  <si>
    <t>PH-1085</t>
  </si>
  <si>
    <t>PH-1057</t>
  </si>
  <si>
    <t>PH-1060</t>
  </si>
  <si>
    <t>Painease 400mg</t>
  </si>
  <si>
    <t>PH-1006</t>
  </si>
  <si>
    <t>PH-1004</t>
  </si>
  <si>
    <t>PH-1022</t>
  </si>
  <si>
    <t>PH-1009</t>
  </si>
  <si>
    <t>PH-1031</t>
  </si>
  <si>
    <t>May</t>
  </si>
  <si>
    <t>PH-1106</t>
  </si>
  <si>
    <t>PH-1048</t>
  </si>
  <si>
    <t>PH-1014</t>
  </si>
  <si>
    <t>PH-1027</t>
  </si>
  <si>
    <t>PH-1007</t>
  </si>
  <si>
    <t>PH-1056</t>
  </si>
  <si>
    <t>PH-1095</t>
  </si>
  <si>
    <t>PH-1087</t>
  </si>
  <si>
    <t>PH-1077</t>
  </si>
  <si>
    <t>PH-1115</t>
  </si>
  <si>
    <t>PH-1036</t>
  </si>
  <si>
    <t>PH-1021</t>
  </si>
  <si>
    <t>June</t>
  </si>
  <si>
    <t>PH-1033</t>
  </si>
  <si>
    <t>PH-1116</t>
  </si>
  <si>
    <t>PH-1078</t>
  </si>
  <si>
    <t>PH-1047</t>
  </si>
  <si>
    <t>PH-1075</t>
  </si>
  <si>
    <t>PH-1091</t>
  </si>
  <si>
    <t>PH-1068</t>
  </si>
  <si>
    <t>PH-1038</t>
  </si>
  <si>
    <t>PH-1109</t>
  </si>
  <si>
    <t>PH-1086</t>
  </si>
  <si>
    <t>July</t>
  </si>
  <si>
    <t>Q3</t>
  </si>
  <si>
    <t>PH-1100</t>
  </si>
  <si>
    <t>PH-1083</t>
  </si>
  <si>
    <t>PH-1069</t>
  </si>
  <si>
    <t>PH-1120</t>
  </si>
  <si>
    <t>PH-1082</t>
  </si>
  <si>
    <t>PH-1010</t>
  </si>
  <si>
    <t>PH-1113</t>
  </si>
  <si>
    <t>August</t>
  </si>
  <si>
    <t>PH-1055</t>
  </si>
  <si>
    <t>PH-1072</t>
  </si>
  <si>
    <t>PH-1071</t>
  </si>
  <si>
    <t>PH-1108</t>
  </si>
  <si>
    <t>PH-1093</t>
  </si>
  <si>
    <t>PH-1049</t>
  </si>
  <si>
    <t>PH-1026</t>
  </si>
  <si>
    <t>PH-1090</t>
  </si>
  <si>
    <t>PH-1003</t>
  </si>
  <si>
    <t>PH-1096</t>
  </si>
  <si>
    <t>PH-1023</t>
  </si>
  <si>
    <t>PH-1016</t>
  </si>
  <si>
    <t>September</t>
  </si>
  <si>
    <t>PH-1092</t>
  </si>
  <si>
    <t>PH-1104</t>
  </si>
  <si>
    <t>PH-1025</t>
  </si>
  <si>
    <t>PH-1094</t>
  </si>
  <si>
    <t>PH-1018</t>
  </si>
  <si>
    <t>PH-1029</t>
  </si>
  <si>
    <t>PH-1098</t>
  </si>
  <si>
    <t>PH-1099</t>
  </si>
  <si>
    <t>PH-1088</t>
  </si>
  <si>
    <t>PH-1008</t>
  </si>
  <si>
    <t>PH-1070</t>
  </si>
  <si>
    <t>PH-1013</t>
  </si>
  <si>
    <t>PH-1066</t>
  </si>
  <si>
    <t>October</t>
  </si>
  <si>
    <t>Q4</t>
  </si>
  <si>
    <t>PH-1017</t>
  </si>
  <si>
    <t>PH-1045</t>
  </si>
  <si>
    <t>PH-1011</t>
  </si>
  <si>
    <t>PH-1020</t>
  </si>
  <si>
    <t>PH-1061</t>
  </si>
  <si>
    <t>PH-1112</t>
  </si>
  <si>
    <t>PH-1107</t>
  </si>
  <si>
    <t>PH-1118</t>
  </si>
  <si>
    <t>November</t>
  </si>
  <si>
    <t>PH-1039</t>
  </si>
  <si>
    <t>PH-1012</t>
  </si>
  <si>
    <t>PH-1117</t>
  </si>
  <si>
    <t>PH-1054</t>
  </si>
  <si>
    <t>PH-1019</t>
  </si>
  <si>
    <t>PH-1050</t>
  </si>
  <si>
    <t>PH-1081</t>
  </si>
  <si>
    <t>PH-1105</t>
  </si>
  <si>
    <t>PH-1043</t>
  </si>
  <si>
    <t>PH-1079</t>
  </si>
  <si>
    <t>PH-1041</t>
  </si>
  <si>
    <t>December</t>
  </si>
  <si>
    <t>PH-1076</t>
  </si>
  <si>
    <t>PH-1065</t>
  </si>
  <si>
    <t>PH-1103</t>
  </si>
  <si>
    <t>PH-1005</t>
  </si>
  <si>
    <t>PH-1035</t>
  </si>
  <si>
    <t>PH-1052</t>
  </si>
  <si>
    <t>PH-1067</t>
  </si>
  <si>
    <t xml:space="preserve">  📊 Monthly Revenue Summary</t>
  </si>
  <si>
    <t>Gross Profit (₹)</t>
  </si>
  <si>
    <t>TOTAL</t>
  </si>
  <si>
    <t xml:space="preserve">  📦 Revenue by Product</t>
  </si>
  <si>
    <t>% Share</t>
  </si>
  <si>
    <t>Rank</t>
  </si>
  <si>
    <t>🏥  PharmaCo India — Sales Performance Dashboard 2024</t>
  </si>
  <si>
    <t>Total Revenue</t>
  </si>
  <si>
    <t>Total Units Sold</t>
  </si>
  <si>
    <t>Gross Profit</t>
  </si>
  <si>
    <t>GP Margin</t>
  </si>
  <si>
    <t>Avg Discount</t>
  </si>
  <si>
    <t>₹13,705,529</t>
  </si>
  <si>
    <t>30,077</t>
  </si>
  <si>
    <t>₹8,535,480</t>
  </si>
  <si>
    <t>62.3%</t>
  </si>
  <si>
    <t>8.4%</t>
  </si>
  <si>
    <t>FY 2024</t>
  </si>
  <si>
    <t xml:space="preserve">  🗺️  Revenue by Region</t>
  </si>
  <si>
    <t xml:space="preserve">  🏪  Revenue by Channel</t>
  </si>
  <si>
    <t>Units</t>
  </si>
  <si>
    <t>GP (₹)</t>
  </si>
  <si>
    <t>GP%</t>
  </si>
  <si>
    <t>Txns</t>
  </si>
  <si>
    <t>Avg Sale</t>
  </si>
  <si>
    <t>Products</t>
  </si>
  <si>
    <t>Regions</t>
  </si>
  <si>
    <t>Channels</t>
  </si>
  <si>
    <t>SalesReps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</si>
</sst>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CCCCCC"/>
      <name val="Arial"/>
      <charset val="1"/>
    </font>
    <font>
      <b/>
      <sz val="14"/>
      <color rgb="FFFFFFFF"/>
      <name val="Arial"/>
      <charset val="1"/>
    </font>
    <font>
      <sz val="9"/>
      <color rgb="FFAAAAAA"/>
      <name val="Arial"/>
      <charset val="1"/>
    </font>
    <font>
      <b/>
      <sz val="11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F5496"/>
        <bgColor rgb="FF1A5276"/>
      </patternFill>
    </fill>
    <fill>
      <patternFill patternType="solid">
        <fgColor rgb="FF1A5276"/>
        <bgColor rgb="FF2F5496"/>
      </patternFill>
    </fill>
    <fill>
      <patternFill patternType="solid">
        <fgColor rgb="FF1E8449"/>
        <bgColor rgb="FF008080"/>
      </patternFill>
    </fill>
    <fill>
      <patternFill patternType="solid">
        <fgColor rgb="FF784212"/>
        <bgColor rgb="FFAB474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10" fontId="2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9F9F9"/>
      <rgbColor rgb="FFF2F2F2"/>
      <rgbColor rgb="FF660066"/>
      <rgbColor rgb="FFDC853E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8CD97"/>
      <rgbColor rgb="FFD09493"/>
      <rgbColor rgb="FFAAAAAA"/>
      <rgbColor rgb="FFFFCC99"/>
      <rgbColor rgb="FF4672A8"/>
      <rgbColor rgb="FF4299B0"/>
      <rgbColor rgb="FF99CC00"/>
      <rgbColor rgb="FFFFCC00"/>
      <rgbColor rgb="FFFF9900"/>
      <rgbColor rgb="FFFF6600"/>
      <rgbColor rgb="FF725990"/>
      <rgbColor rgb="FFA99BBD"/>
      <rgbColor rgb="FF1F3864"/>
      <rgbColor rgb="FF1E8449"/>
      <rgbColor rgb="FF003300"/>
      <rgbColor rgb="FF333300"/>
      <rgbColor rgb="FF784212"/>
      <rgbColor rgb="FF993366"/>
      <rgbColor rgb="FF2F5496"/>
      <rgbColor rgb="FF1A527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Analysis'!$A$3:$A$14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Analysis'!$B$3:$B$14</c:f>
              <c:numCache>
                <c:formatCode>#,##0.00</c:formatCode>
                <c:ptCount val="12"/>
                <c:pt idx="0">
                  <c:v>1675040.09</c:v>
                </c:pt>
                <c:pt idx="1">
                  <c:v>1884745.08</c:v>
                </c:pt>
                <c:pt idx="2">
                  <c:v>279627.7</c:v>
                </c:pt>
                <c:pt idx="3">
                  <c:v>374652.93</c:v>
                </c:pt>
                <c:pt idx="4">
                  <c:v>1392634.65</c:v>
                </c:pt>
                <c:pt idx="5">
                  <c:v>1658627.14</c:v>
                </c:pt>
                <c:pt idx="6">
                  <c:v>645883.99</c:v>
                </c:pt>
                <c:pt idx="7">
                  <c:v>1658720.01</c:v>
                </c:pt>
                <c:pt idx="8">
                  <c:v>1112394.97</c:v>
                </c:pt>
                <c:pt idx="9">
                  <c:v>908422.23</c:v>
                </c:pt>
                <c:pt idx="10">
                  <c:v>1879514.19</c:v>
                </c:pt>
                <c:pt idx="11">
                  <c:v>235265.87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B-4919-8BE9-1B95A87CE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8749"/>
        <c:axId val="46735765"/>
      </c:barChart>
      <c:catAx>
        <c:axId val="5888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35765"/>
        <c:crosses val="autoZero"/>
        <c:auto val="1"/>
        <c:lblAlgn val="ctr"/>
        <c:lblOffset val="100"/>
        <c:noMultiLvlLbl val="0"/>
      </c:catAx>
      <c:valAx>
        <c:axId val="46735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8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Analysis'!$B$21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2A-4240-8B7E-E31EBE2F4E0B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2A-4240-8B7E-E31EBE2F4E0B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2A-4240-8B7E-E31EBE2F4E0B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52A-4240-8B7E-E31EBE2F4E0B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52A-4240-8B7E-E31EBE2F4E0B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752A-4240-8B7E-E31EBE2F4E0B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752A-4240-8B7E-E31EBE2F4E0B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752A-4240-8B7E-E31EBE2F4E0B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752A-4240-8B7E-E31EBE2F4E0B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752A-4240-8B7E-E31EBE2F4E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52A-4240-8B7E-E31EBE2F4E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52A-4240-8B7E-E31EBE2F4E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52A-4240-8B7E-E31EBE2F4E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52A-4240-8B7E-E31EBE2F4E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52A-4240-8B7E-E31EBE2F4E0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752A-4240-8B7E-E31EBE2F4E0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752A-4240-8B7E-E31EBE2F4E0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752A-4240-8B7E-E31EBE2F4E0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752A-4240-8B7E-E31EBE2F4E0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752A-4240-8B7E-E31EBE2F4E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Analysis'!$A$22:$A$31</c:f>
              <c:strCache>
                <c:ptCount val="10"/>
                <c:pt idx="0">
                  <c:v>Oncoshield 100mg</c:v>
                </c:pt>
                <c:pt idx="1">
                  <c:v>Immunovax Pro</c:v>
                </c:pt>
                <c:pt idx="2">
                  <c:v>Respiclear 200mg</c:v>
                </c:pt>
                <c:pt idx="3">
                  <c:v>Cardivex 20mg</c:v>
                </c:pt>
                <c:pt idx="4">
                  <c:v>Neuralox 10mg</c:v>
                </c:pt>
                <c:pt idx="5">
                  <c:v>Cardivex 10mg</c:v>
                </c:pt>
                <c:pt idx="6">
                  <c:v>Diabetrol 500mg</c:v>
                </c:pt>
                <c:pt idx="7">
                  <c:v>Neuralox 5mg</c:v>
                </c:pt>
                <c:pt idx="8">
                  <c:v>Painease 400mg</c:v>
                </c:pt>
                <c:pt idx="9">
                  <c:v>Diabetrol 1000mg</c:v>
                </c:pt>
              </c:strCache>
            </c:strRef>
          </c:cat>
          <c:val>
            <c:numRef>
              <c:f>'Revenue Analysis'!$B$22:$B$31</c:f>
              <c:numCache>
                <c:formatCode>#,##0.00</c:formatCode>
                <c:ptCount val="10"/>
                <c:pt idx="0">
                  <c:v>8583904.0199999996</c:v>
                </c:pt>
                <c:pt idx="1">
                  <c:v>2165242.34</c:v>
                </c:pt>
                <c:pt idx="2">
                  <c:v>966414</c:v>
                </c:pt>
                <c:pt idx="3">
                  <c:v>443411.64</c:v>
                </c:pt>
                <c:pt idx="4">
                  <c:v>385125.28</c:v>
                </c:pt>
                <c:pt idx="5">
                  <c:v>317134.40000000002</c:v>
                </c:pt>
                <c:pt idx="6">
                  <c:v>297823.44</c:v>
                </c:pt>
                <c:pt idx="7">
                  <c:v>264905.06</c:v>
                </c:pt>
                <c:pt idx="8">
                  <c:v>149726.66</c:v>
                </c:pt>
                <c:pt idx="9">
                  <c:v>131842.01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2A-4240-8B7E-E31EBE2F4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363960</xdr:colOff>
      <xdr:row>21</xdr:row>
      <xdr:rowOff>34920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15</xdr:col>
      <xdr:colOff>363960</xdr:colOff>
      <xdr:row>42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zoomScaleNormal="100" workbookViewId="0">
      <pane ySplit="1" topLeftCell="A56" activePane="bottomLeft" state="frozen"/>
      <selection pane="bottomLeft" activeCell="A101" sqref="A101"/>
    </sheetView>
  </sheetViews>
  <sheetFormatPr defaultColWidth="8.7109375" defaultRowHeight="15" x14ac:dyDescent="0.25"/>
  <cols>
    <col min="1" max="2" width="12" customWidth="1"/>
    <col min="3" max="3" width="11" customWidth="1"/>
    <col min="4" max="4" width="8" customWidth="1"/>
    <col min="5" max="5" width="20" customWidth="1"/>
    <col min="6" max="6" width="10" customWidth="1"/>
    <col min="7" max="7" width="18" customWidth="1"/>
    <col min="8" max="8" width="16" customWidth="1"/>
    <col min="9" max="9" width="12" customWidth="1"/>
    <col min="10" max="10" width="14" customWidth="1"/>
    <col min="11" max="11" width="12" customWidth="1"/>
    <col min="12" max="13" width="15" customWidth="1"/>
  </cols>
  <sheetData>
    <row r="1" spans="1:13" ht="31.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16.5" customHeight="1" x14ac:dyDescent="0.25">
      <c r="A2" s="16" t="s">
        <v>13</v>
      </c>
      <c r="B2" s="17">
        <v>45292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8">
        <v>57</v>
      </c>
      <c r="J2" s="19">
        <v>2610.92</v>
      </c>
      <c r="K2" s="20">
        <v>9.0999999999999998E-2</v>
      </c>
      <c r="L2" s="19">
        <v>135279.6</v>
      </c>
      <c r="M2" s="19">
        <v>41122.35</v>
      </c>
    </row>
    <row r="3" spans="1:13" ht="16.5" customHeight="1" x14ac:dyDescent="0.25">
      <c r="A3" s="21" t="s">
        <v>20</v>
      </c>
      <c r="B3" s="22">
        <v>45293</v>
      </c>
      <c r="C3" s="21" t="s">
        <v>14</v>
      </c>
      <c r="D3" s="21" t="s">
        <v>15</v>
      </c>
      <c r="E3" s="21" t="s">
        <v>21</v>
      </c>
      <c r="F3" s="21" t="s">
        <v>22</v>
      </c>
      <c r="G3" s="21" t="s">
        <v>23</v>
      </c>
      <c r="H3" s="21" t="s">
        <v>24</v>
      </c>
      <c r="I3" s="23">
        <v>135</v>
      </c>
      <c r="J3" s="24">
        <v>94.87</v>
      </c>
      <c r="K3" s="25">
        <v>0.11</v>
      </c>
      <c r="L3" s="24">
        <v>11398.63</v>
      </c>
      <c r="M3" s="24">
        <v>4733.55</v>
      </c>
    </row>
    <row r="4" spans="1:13" ht="16.5" customHeight="1" x14ac:dyDescent="0.25">
      <c r="A4" s="16" t="s">
        <v>25</v>
      </c>
      <c r="B4" s="17">
        <v>45295</v>
      </c>
      <c r="C4" s="16" t="s">
        <v>14</v>
      </c>
      <c r="D4" s="16" t="s">
        <v>15</v>
      </c>
      <c r="E4" s="16" t="s">
        <v>26</v>
      </c>
      <c r="F4" s="16" t="s">
        <v>27</v>
      </c>
      <c r="G4" s="16" t="s">
        <v>18</v>
      </c>
      <c r="H4" s="16" t="s">
        <v>28</v>
      </c>
      <c r="I4" s="18">
        <v>315</v>
      </c>
      <c r="J4" s="19">
        <v>93.51</v>
      </c>
      <c r="K4" s="20">
        <v>0.13109999999999999</v>
      </c>
      <c r="L4" s="19">
        <v>25594.01</v>
      </c>
      <c r="M4" s="19">
        <v>8882.44</v>
      </c>
    </row>
    <row r="5" spans="1:13" ht="16.5" customHeight="1" x14ac:dyDescent="0.25">
      <c r="A5" s="21" t="s">
        <v>29</v>
      </c>
      <c r="B5" s="22">
        <v>45296</v>
      </c>
      <c r="C5" s="21" t="s">
        <v>14</v>
      </c>
      <c r="D5" s="21" t="s">
        <v>15</v>
      </c>
      <c r="E5" s="21" t="s">
        <v>30</v>
      </c>
      <c r="F5" s="21" t="s">
        <v>22</v>
      </c>
      <c r="G5" s="21" t="s">
        <v>31</v>
      </c>
      <c r="H5" s="21" t="s">
        <v>32</v>
      </c>
      <c r="I5" s="23">
        <v>267</v>
      </c>
      <c r="J5" s="24">
        <v>255.69</v>
      </c>
      <c r="K5" s="25">
        <v>5.9799999999999999E-2</v>
      </c>
      <c r="L5" s="24">
        <v>64186.73</v>
      </c>
      <c r="M5" s="24">
        <v>20222.330000000002</v>
      </c>
    </row>
    <row r="6" spans="1:13" ht="16.5" customHeight="1" x14ac:dyDescent="0.25">
      <c r="A6" s="16" t="s">
        <v>33</v>
      </c>
      <c r="B6" s="17">
        <v>45298</v>
      </c>
      <c r="C6" s="16" t="s">
        <v>14</v>
      </c>
      <c r="D6" s="16" t="s">
        <v>15</v>
      </c>
      <c r="E6" s="16" t="s">
        <v>16</v>
      </c>
      <c r="F6" s="16" t="s">
        <v>34</v>
      </c>
      <c r="G6" s="16" t="s">
        <v>18</v>
      </c>
      <c r="H6" s="16" t="s">
        <v>19</v>
      </c>
      <c r="I6" s="18">
        <v>436</v>
      </c>
      <c r="J6" s="19">
        <v>2746.34</v>
      </c>
      <c r="K6" s="20">
        <v>0.16289999999999999</v>
      </c>
      <c r="L6" s="19">
        <v>1002347.09</v>
      </c>
      <c r="M6" s="19">
        <v>388521.67</v>
      </c>
    </row>
    <row r="7" spans="1:13" ht="16.5" customHeight="1" x14ac:dyDescent="0.25">
      <c r="A7" s="21" t="s">
        <v>35</v>
      </c>
      <c r="B7" s="22">
        <v>45301</v>
      </c>
      <c r="C7" s="21" t="s">
        <v>14</v>
      </c>
      <c r="D7" s="21" t="s">
        <v>15</v>
      </c>
      <c r="E7" s="21" t="s">
        <v>36</v>
      </c>
      <c r="F7" s="21" t="s">
        <v>22</v>
      </c>
      <c r="G7" s="21" t="s">
        <v>23</v>
      </c>
      <c r="H7" s="21" t="s">
        <v>37</v>
      </c>
      <c r="I7" s="23">
        <v>262</v>
      </c>
      <c r="J7" s="24">
        <v>108.94</v>
      </c>
      <c r="K7" s="25">
        <v>4.2299999999999997E-2</v>
      </c>
      <c r="L7" s="24">
        <v>27334.94</v>
      </c>
      <c r="M7" s="24">
        <v>10404.549999999999</v>
      </c>
    </row>
    <row r="8" spans="1:13" ht="16.5" customHeight="1" x14ac:dyDescent="0.25">
      <c r="A8" s="16" t="s">
        <v>38</v>
      </c>
      <c r="B8" s="17">
        <v>45303</v>
      </c>
      <c r="C8" s="16" t="s">
        <v>14</v>
      </c>
      <c r="D8" s="16" t="s">
        <v>15</v>
      </c>
      <c r="E8" s="16" t="s">
        <v>30</v>
      </c>
      <c r="F8" s="16" t="s">
        <v>22</v>
      </c>
      <c r="G8" s="16" t="s">
        <v>18</v>
      </c>
      <c r="H8" s="16" t="s">
        <v>32</v>
      </c>
      <c r="I8" s="18">
        <v>162</v>
      </c>
      <c r="J8" s="19">
        <v>243.99</v>
      </c>
      <c r="K8" s="20">
        <v>0.15359999999999999</v>
      </c>
      <c r="L8" s="19">
        <v>33455.129999999997</v>
      </c>
      <c r="M8" s="19">
        <v>14821.11</v>
      </c>
    </row>
    <row r="9" spans="1:13" ht="16.5" customHeight="1" x14ac:dyDescent="0.25">
      <c r="A9" s="21" t="s">
        <v>39</v>
      </c>
      <c r="B9" s="22">
        <v>45306</v>
      </c>
      <c r="C9" s="21" t="s">
        <v>14</v>
      </c>
      <c r="D9" s="21" t="s">
        <v>15</v>
      </c>
      <c r="E9" s="21" t="s">
        <v>40</v>
      </c>
      <c r="F9" s="21" t="s">
        <v>17</v>
      </c>
      <c r="G9" s="21" t="s">
        <v>18</v>
      </c>
      <c r="H9" s="21" t="s">
        <v>41</v>
      </c>
      <c r="I9" s="23">
        <v>328</v>
      </c>
      <c r="J9" s="24">
        <v>218.33</v>
      </c>
      <c r="K9" s="25">
        <v>0.17929999999999999</v>
      </c>
      <c r="L9" s="24">
        <v>58772.17</v>
      </c>
      <c r="M9" s="24">
        <v>18277.5</v>
      </c>
    </row>
    <row r="10" spans="1:13" ht="16.5" customHeight="1" x14ac:dyDescent="0.25">
      <c r="A10" s="16" t="s">
        <v>42</v>
      </c>
      <c r="B10" s="17">
        <v>45310</v>
      </c>
      <c r="C10" s="16" t="s">
        <v>14</v>
      </c>
      <c r="D10" s="16" t="s">
        <v>15</v>
      </c>
      <c r="E10" s="16" t="s">
        <v>26</v>
      </c>
      <c r="F10" s="16" t="s">
        <v>27</v>
      </c>
      <c r="G10" s="16" t="s">
        <v>23</v>
      </c>
      <c r="H10" s="16" t="s">
        <v>41</v>
      </c>
      <c r="I10" s="18">
        <v>452</v>
      </c>
      <c r="J10" s="19">
        <v>99.24</v>
      </c>
      <c r="K10" s="20">
        <v>0.13400000000000001</v>
      </c>
      <c r="L10" s="19">
        <v>38845.71</v>
      </c>
      <c r="M10" s="19">
        <v>11939.49</v>
      </c>
    </row>
    <row r="11" spans="1:13" ht="16.5" customHeight="1" x14ac:dyDescent="0.25">
      <c r="A11" s="21" t="s">
        <v>43</v>
      </c>
      <c r="B11" s="22">
        <v>45313</v>
      </c>
      <c r="C11" s="21" t="s">
        <v>14</v>
      </c>
      <c r="D11" s="21" t="s">
        <v>15</v>
      </c>
      <c r="E11" s="21" t="s">
        <v>44</v>
      </c>
      <c r="F11" s="21" t="s">
        <v>17</v>
      </c>
      <c r="G11" s="21" t="s">
        <v>45</v>
      </c>
      <c r="H11" s="21" t="s">
        <v>28</v>
      </c>
      <c r="I11" s="23">
        <v>428</v>
      </c>
      <c r="J11" s="24">
        <v>658.52</v>
      </c>
      <c r="K11" s="25">
        <v>0.16769999999999999</v>
      </c>
      <c r="L11" s="24">
        <v>234580.89</v>
      </c>
      <c r="M11" s="24">
        <v>74019.179999999993</v>
      </c>
    </row>
    <row r="12" spans="1:13" ht="16.5" customHeight="1" x14ac:dyDescent="0.25">
      <c r="A12" s="16" t="s">
        <v>46</v>
      </c>
      <c r="B12" s="17">
        <v>45315</v>
      </c>
      <c r="C12" s="16" t="s">
        <v>14</v>
      </c>
      <c r="D12" s="16" t="s">
        <v>15</v>
      </c>
      <c r="E12" s="16" t="s">
        <v>40</v>
      </c>
      <c r="F12" s="16" t="s">
        <v>27</v>
      </c>
      <c r="G12" s="16" t="s">
        <v>31</v>
      </c>
      <c r="H12" s="16" t="s">
        <v>24</v>
      </c>
      <c r="I12" s="18">
        <v>150</v>
      </c>
      <c r="J12" s="19">
        <v>183.06</v>
      </c>
      <c r="K12" s="20">
        <v>2.5100000000000001E-2</v>
      </c>
      <c r="L12" s="19">
        <v>26769.78</v>
      </c>
      <c r="M12" s="19">
        <v>8442.5</v>
      </c>
    </row>
    <row r="13" spans="1:13" ht="16.5" customHeight="1" x14ac:dyDescent="0.25">
      <c r="A13" s="21" t="s">
        <v>47</v>
      </c>
      <c r="B13" s="22">
        <v>45315</v>
      </c>
      <c r="C13" s="21" t="s">
        <v>14</v>
      </c>
      <c r="D13" s="21" t="s">
        <v>15</v>
      </c>
      <c r="E13" s="21" t="s">
        <v>30</v>
      </c>
      <c r="F13" s="21" t="s">
        <v>22</v>
      </c>
      <c r="G13" s="21" t="s">
        <v>45</v>
      </c>
      <c r="H13" s="21" t="s">
        <v>37</v>
      </c>
      <c r="I13" s="23">
        <v>83</v>
      </c>
      <c r="J13" s="24">
        <v>225.03</v>
      </c>
      <c r="K13" s="25">
        <v>0.1179</v>
      </c>
      <c r="L13" s="24">
        <v>16475.41</v>
      </c>
      <c r="M13" s="24">
        <v>5324.1</v>
      </c>
    </row>
    <row r="14" spans="1:13" ht="16.5" customHeight="1" x14ac:dyDescent="0.25">
      <c r="A14" s="16" t="s">
        <v>48</v>
      </c>
      <c r="B14" s="17">
        <v>45330</v>
      </c>
      <c r="C14" s="16" t="s">
        <v>49</v>
      </c>
      <c r="D14" s="16" t="s">
        <v>15</v>
      </c>
      <c r="E14" s="16" t="s">
        <v>36</v>
      </c>
      <c r="F14" s="16" t="s">
        <v>50</v>
      </c>
      <c r="G14" s="16" t="s">
        <v>18</v>
      </c>
      <c r="H14" s="16" t="s">
        <v>51</v>
      </c>
      <c r="I14" s="18">
        <v>355</v>
      </c>
      <c r="J14" s="19">
        <v>129.68</v>
      </c>
      <c r="K14" s="20">
        <v>0.10349999999999999</v>
      </c>
      <c r="L14" s="19">
        <v>41271.629999999997</v>
      </c>
      <c r="M14" s="19">
        <v>18267.560000000001</v>
      </c>
    </row>
    <row r="15" spans="1:13" ht="16.5" customHeight="1" x14ac:dyDescent="0.25">
      <c r="A15" s="21" t="s">
        <v>52</v>
      </c>
      <c r="B15" s="22">
        <v>45330</v>
      </c>
      <c r="C15" s="21" t="s">
        <v>49</v>
      </c>
      <c r="D15" s="21" t="s">
        <v>15</v>
      </c>
      <c r="E15" s="21" t="s">
        <v>30</v>
      </c>
      <c r="F15" s="21" t="s">
        <v>50</v>
      </c>
      <c r="G15" s="21" t="s">
        <v>31</v>
      </c>
      <c r="H15" s="21" t="s">
        <v>19</v>
      </c>
      <c r="I15" s="23">
        <v>205</v>
      </c>
      <c r="J15" s="24">
        <v>233.97</v>
      </c>
      <c r="K15" s="25">
        <v>0.10349999999999999</v>
      </c>
      <c r="L15" s="24">
        <v>42999.59</v>
      </c>
      <c r="M15" s="24">
        <v>19302.68</v>
      </c>
    </row>
    <row r="16" spans="1:13" ht="16.5" customHeight="1" x14ac:dyDescent="0.25">
      <c r="A16" s="16" t="s">
        <v>53</v>
      </c>
      <c r="B16" s="17">
        <v>45332</v>
      </c>
      <c r="C16" s="16" t="s">
        <v>49</v>
      </c>
      <c r="D16" s="16" t="s">
        <v>15</v>
      </c>
      <c r="E16" s="16" t="s">
        <v>36</v>
      </c>
      <c r="F16" s="16" t="s">
        <v>50</v>
      </c>
      <c r="G16" s="16" t="s">
        <v>23</v>
      </c>
      <c r="H16" s="16" t="s">
        <v>32</v>
      </c>
      <c r="I16" s="18">
        <v>123</v>
      </c>
      <c r="J16" s="19">
        <v>117.25</v>
      </c>
      <c r="K16" s="20">
        <v>4.3799999999999999E-2</v>
      </c>
      <c r="L16" s="19">
        <v>13790.08</v>
      </c>
      <c r="M16" s="19">
        <v>5510.43</v>
      </c>
    </row>
    <row r="17" spans="1:13" ht="16.5" customHeight="1" x14ac:dyDescent="0.25">
      <c r="A17" s="21" t="s">
        <v>54</v>
      </c>
      <c r="B17" s="22">
        <v>45338</v>
      </c>
      <c r="C17" s="21" t="s">
        <v>49</v>
      </c>
      <c r="D17" s="21" t="s">
        <v>15</v>
      </c>
      <c r="E17" s="21" t="s">
        <v>26</v>
      </c>
      <c r="F17" s="21" t="s">
        <v>17</v>
      </c>
      <c r="G17" s="21" t="s">
        <v>31</v>
      </c>
      <c r="H17" s="21" t="s">
        <v>51</v>
      </c>
      <c r="I17" s="23">
        <v>19</v>
      </c>
      <c r="J17" s="24">
        <v>100.68</v>
      </c>
      <c r="K17" s="25">
        <v>9.4000000000000004E-3</v>
      </c>
      <c r="L17" s="24">
        <v>1894.94</v>
      </c>
      <c r="M17" s="24">
        <v>839.06</v>
      </c>
    </row>
    <row r="18" spans="1:13" ht="16.5" customHeight="1" x14ac:dyDescent="0.25">
      <c r="A18" s="16" t="s">
        <v>55</v>
      </c>
      <c r="B18" s="17">
        <v>45341</v>
      </c>
      <c r="C18" s="16" t="s">
        <v>49</v>
      </c>
      <c r="D18" s="16" t="s">
        <v>15</v>
      </c>
      <c r="E18" s="16" t="s">
        <v>16</v>
      </c>
      <c r="F18" s="16" t="s">
        <v>27</v>
      </c>
      <c r="G18" s="16" t="s">
        <v>18</v>
      </c>
      <c r="H18" s="16" t="s">
        <v>32</v>
      </c>
      <c r="I18" s="18">
        <v>136</v>
      </c>
      <c r="J18" s="19">
        <v>2853.03</v>
      </c>
      <c r="K18" s="20">
        <v>7.1999999999999998E-3</v>
      </c>
      <c r="L18" s="19">
        <v>385218.39</v>
      </c>
      <c r="M18" s="19">
        <v>120302.74</v>
      </c>
    </row>
    <row r="19" spans="1:13" ht="16.5" customHeight="1" x14ac:dyDescent="0.25">
      <c r="A19" s="21" t="s">
        <v>56</v>
      </c>
      <c r="B19" s="22">
        <v>45344</v>
      </c>
      <c r="C19" s="21" t="s">
        <v>49</v>
      </c>
      <c r="D19" s="21" t="s">
        <v>15</v>
      </c>
      <c r="E19" s="21" t="s">
        <v>16</v>
      </c>
      <c r="F19" s="21" t="s">
        <v>50</v>
      </c>
      <c r="G19" s="21" t="s">
        <v>18</v>
      </c>
      <c r="H19" s="21" t="s">
        <v>41</v>
      </c>
      <c r="I19" s="23">
        <v>481</v>
      </c>
      <c r="J19" s="24">
        <v>2685.89</v>
      </c>
      <c r="K19" s="25">
        <v>5.6500000000000002E-2</v>
      </c>
      <c r="L19" s="24">
        <v>1218920</v>
      </c>
      <c r="M19" s="24">
        <v>520725.42</v>
      </c>
    </row>
    <row r="20" spans="1:13" ht="16.5" customHeight="1" x14ac:dyDescent="0.25">
      <c r="A20" s="16" t="s">
        <v>57</v>
      </c>
      <c r="B20" s="17">
        <v>45350</v>
      </c>
      <c r="C20" s="16" t="s">
        <v>49</v>
      </c>
      <c r="D20" s="16" t="s">
        <v>15</v>
      </c>
      <c r="E20" s="16" t="s">
        <v>44</v>
      </c>
      <c r="F20" s="16" t="s">
        <v>17</v>
      </c>
      <c r="G20" s="16" t="s">
        <v>45</v>
      </c>
      <c r="H20" s="16" t="s">
        <v>58</v>
      </c>
      <c r="I20" s="18">
        <v>330</v>
      </c>
      <c r="J20" s="19">
        <v>618.55999999999995</v>
      </c>
      <c r="K20" s="20">
        <v>0.115</v>
      </c>
      <c r="L20" s="19">
        <v>180650.45</v>
      </c>
      <c r="M20" s="19">
        <v>70696.75</v>
      </c>
    </row>
    <row r="21" spans="1:13" ht="16.5" customHeight="1" x14ac:dyDescent="0.25">
      <c r="A21" s="21" t="s">
        <v>59</v>
      </c>
      <c r="B21" s="22">
        <v>45353</v>
      </c>
      <c r="C21" s="21" t="s">
        <v>60</v>
      </c>
      <c r="D21" s="21" t="s">
        <v>15</v>
      </c>
      <c r="E21" s="21" t="s">
        <v>30</v>
      </c>
      <c r="F21" s="21" t="s">
        <v>22</v>
      </c>
      <c r="G21" s="21" t="s">
        <v>45</v>
      </c>
      <c r="H21" s="21" t="s">
        <v>19</v>
      </c>
      <c r="I21" s="23">
        <v>143</v>
      </c>
      <c r="J21" s="24">
        <v>223.33</v>
      </c>
      <c r="K21" s="25">
        <v>3.8100000000000002E-2</v>
      </c>
      <c r="L21" s="24">
        <v>30719.42</v>
      </c>
      <c r="M21" s="24">
        <v>10721.9</v>
      </c>
    </row>
    <row r="22" spans="1:13" ht="16.5" customHeight="1" x14ac:dyDescent="0.25">
      <c r="A22" s="16" t="s">
        <v>61</v>
      </c>
      <c r="B22" s="17">
        <v>45353</v>
      </c>
      <c r="C22" s="16" t="s">
        <v>60</v>
      </c>
      <c r="D22" s="16" t="s">
        <v>15</v>
      </c>
      <c r="E22" s="16" t="s">
        <v>62</v>
      </c>
      <c r="F22" s="16" t="s">
        <v>22</v>
      </c>
      <c r="G22" s="16" t="s">
        <v>23</v>
      </c>
      <c r="H22" s="16" t="s">
        <v>28</v>
      </c>
      <c r="I22" s="18">
        <v>139</v>
      </c>
      <c r="J22" s="19">
        <v>176.94</v>
      </c>
      <c r="K22" s="20">
        <v>8.5999999999999993E-2</v>
      </c>
      <c r="L22" s="19">
        <v>22479.52</v>
      </c>
      <c r="M22" s="19">
        <v>9515.9699999999993</v>
      </c>
    </row>
    <row r="23" spans="1:13" ht="16.5" customHeight="1" x14ac:dyDescent="0.25">
      <c r="A23" s="21" t="s">
        <v>63</v>
      </c>
      <c r="B23" s="22">
        <v>45359</v>
      </c>
      <c r="C23" s="21" t="s">
        <v>60</v>
      </c>
      <c r="D23" s="21" t="s">
        <v>15</v>
      </c>
      <c r="E23" s="21" t="s">
        <v>40</v>
      </c>
      <c r="F23" s="21" t="s">
        <v>27</v>
      </c>
      <c r="G23" s="21" t="s">
        <v>23</v>
      </c>
      <c r="H23" s="21" t="s">
        <v>41</v>
      </c>
      <c r="I23" s="23">
        <v>98</v>
      </c>
      <c r="J23" s="24">
        <v>197.43</v>
      </c>
      <c r="K23" s="25">
        <v>2.8199999999999999E-2</v>
      </c>
      <c r="L23" s="24">
        <v>18802.52</v>
      </c>
      <c r="M23" s="24">
        <v>6792.93</v>
      </c>
    </row>
    <row r="24" spans="1:13" ht="16.5" customHeight="1" x14ac:dyDescent="0.25">
      <c r="A24" s="16" t="s">
        <v>64</v>
      </c>
      <c r="B24" s="17">
        <v>45364</v>
      </c>
      <c r="C24" s="16" t="s">
        <v>60</v>
      </c>
      <c r="D24" s="16" t="s">
        <v>15</v>
      </c>
      <c r="E24" s="16" t="s">
        <v>44</v>
      </c>
      <c r="F24" s="16" t="s">
        <v>34</v>
      </c>
      <c r="G24" s="16" t="s">
        <v>45</v>
      </c>
      <c r="H24" s="16" t="s">
        <v>19</v>
      </c>
      <c r="I24" s="18">
        <v>107</v>
      </c>
      <c r="J24" s="19">
        <v>715.81</v>
      </c>
      <c r="K24" s="20">
        <v>9.1499999999999998E-2</v>
      </c>
      <c r="L24" s="19">
        <v>69583.53</v>
      </c>
      <c r="M24" s="19">
        <v>30053.05</v>
      </c>
    </row>
    <row r="25" spans="1:13" ht="16.5" customHeight="1" x14ac:dyDescent="0.25">
      <c r="A25" s="21" t="s">
        <v>65</v>
      </c>
      <c r="B25" s="22">
        <v>45365</v>
      </c>
      <c r="C25" s="21" t="s">
        <v>60</v>
      </c>
      <c r="D25" s="21" t="s">
        <v>15</v>
      </c>
      <c r="E25" s="21" t="s">
        <v>21</v>
      </c>
      <c r="F25" s="21" t="s">
        <v>22</v>
      </c>
      <c r="G25" s="21" t="s">
        <v>66</v>
      </c>
      <c r="H25" s="21" t="s">
        <v>41</v>
      </c>
      <c r="I25" s="23">
        <v>22</v>
      </c>
      <c r="J25" s="24">
        <v>78.459999999999994</v>
      </c>
      <c r="K25" s="25">
        <v>0.16639999999999999</v>
      </c>
      <c r="L25" s="24">
        <v>1438.89</v>
      </c>
      <c r="M25" s="24">
        <v>600.53</v>
      </c>
    </row>
    <row r="26" spans="1:13" ht="16.5" customHeight="1" x14ac:dyDescent="0.25">
      <c r="A26" s="16" t="s">
        <v>67</v>
      </c>
      <c r="B26" s="17">
        <v>45375</v>
      </c>
      <c r="C26" s="16" t="s">
        <v>60</v>
      </c>
      <c r="D26" s="16" t="s">
        <v>15</v>
      </c>
      <c r="E26" s="16" t="s">
        <v>26</v>
      </c>
      <c r="F26" s="16" t="s">
        <v>34</v>
      </c>
      <c r="G26" s="16" t="s">
        <v>66</v>
      </c>
      <c r="H26" s="16" t="s">
        <v>32</v>
      </c>
      <c r="I26" s="18">
        <v>236</v>
      </c>
      <c r="J26" s="19">
        <v>96.18</v>
      </c>
      <c r="K26" s="20">
        <v>7.6999999999999999E-2</v>
      </c>
      <c r="L26" s="19">
        <v>20950.7</v>
      </c>
      <c r="M26" s="19">
        <v>6315.6</v>
      </c>
    </row>
    <row r="27" spans="1:13" ht="16.5" customHeight="1" x14ac:dyDescent="0.25">
      <c r="A27" s="21" t="s">
        <v>68</v>
      </c>
      <c r="B27" s="22">
        <v>45377</v>
      </c>
      <c r="C27" s="21" t="s">
        <v>60</v>
      </c>
      <c r="D27" s="21" t="s">
        <v>15</v>
      </c>
      <c r="E27" s="21" t="s">
        <v>69</v>
      </c>
      <c r="F27" s="21" t="s">
        <v>34</v>
      </c>
      <c r="G27" s="21" t="s">
        <v>23</v>
      </c>
      <c r="H27" s="21" t="s">
        <v>58</v>
      </c>
      <c r="I27" s="23">
        <v>500</v>
      </c>
      <c r="J27" s="24">
        <v>157.05000000000001</v>
      </c>
      <c r="K27" s="25">
        <v>8.3599999999999994E-2</v>
      </c>
      <c r="L27" s="24">
        <v>71960.31</v>
      </c>
      <c r="M27" s="24">
        <v>27604.76</v>
      </c>
    </row>
    <row r="28" spans="1:13" ht="16.5" customHeight="1" x14ac:dyDescent="0.25">
      <c r="A28" s="16" t="s">
        <v>70</v>
      </c>
      <c r="B28" s="17">
        <v>45377</v>
      </c>
      <c r="C28" s="16" t="s">
        <v>60</v>
      </c>
      <c r="D28" s="16" t="s">
        <v>15</v>
      </c>
      <c r="E28" s="16" t="s">
        <v>69</v>
      </c>
      <c r="F28" s="16" t="s">
        <v>50</v>
      </c>
      <c r="G28" s="16" t="s">
        <v>66</v>
      </c>
      <c r="H28" s="16" t="s">
        <v>41</v>
      </c>
      <c r="I28" s="18">
        <v>286</v>
      </c>
      <c r="J28" s="19">
        <v>163.55000000000001</v>
      </c>
      <c r="K28" s="20">
        <v>6.59E-2</v>
      </c>
      <c r="L28" s="19">
        <v>43692.81</v>
      </c>
      <c r="M28" s="19">
        <v>16396.57</v>
      </c>
    </row>
    <row r="29" spans="1:13" ht="16.5" customHeight="1" x14ac:dyDescent="0.25">
      <c r="A29" s="21" t="s">
        <v>71</v>
      </c>
      <c r="B29" s="22">
        <v>45383</v>
      </c>
      <c r="C29" s="21" t="s">
        <v>72</v>
      </c>
      <c r="D29" s="21" t="s">
        <v>73</v>
      </c>
      <c r="E29" s="21" t="s">
        <v>69</v>
      </c>
      <c r="F29" s="21" t="s">
        <v>50</v>
      </c>
      <c r="G29" s="21" t="s">
        <v>45</v>
      </c>
      <c r="H29" s="21" t="s">
        <v>32</v>
      </c>
      <c r="I29" s="23">
        <v>347</v>
      </c>
      <c r="J29" s="24">
        <v>138.94999999999999</v>
      </c>
      <c r="K29" s="25">
        <v>5.91E-2</v>
      </c>
      <c r="L29" s="24">
        <v>45366.11</v>
      </c>
      <c r="M29" s="24">
        <v>19491.68</v>
      </c>
    </row>
    <row r="30" spans="1:13" ht="16.5" customHeight="1" x14ac:dyDescent="0.25">
      <c r="A30" s="16" t="s">
        <v>74</v>
      </c>
      <c r="B30" s="17">
        <v>45384</v>
      </c>
      <c r="C30" s="16" t="s">
        <v>72</v>
      </c>
      <c r="D30" s="16" t="s">
        <v>73</v>
      </c>
      <c r="E30" s="16" t="s">
        <v>26</v>
      </c>
      <c r="F30" s="16" t="s">
        <v>34</v>
      </c>
      <c r="G30" s="16" t="s">
        <v>18</v>
      </c>
      <c r="H30" s="16" t="s">
        <v>75</v>
      </c>
      <c r="I30" s="18">
        <v>306</v>
      </c>
      <c r="J30" s="19">
        <v>100.37</v>
      </c>
      <c r="K30" s="20">
        <v>1.0999999999999999E-2</v>
      </c>
      <c r="L30" s="19">
        <v>30375.37</v>
      </c>
      <c r="M30" s="19">
        <v>10541.49</v>
      </c>
    </row>
    <row r="31" spans="1:13" ht="16.5" customHeight="1" x14ac:dyDescent="0.25">
      <c r="A31" s="21" t="s">
        <v>76</v>
      </c>
      <c r="B31" s="22">
        <v>45385</v>
      </c>
      <c r="C31" s="21" t="s">
        <v>72</v>
      </c>
      <c r="D31" s="21" t="s">
        <v>73</v>
      </c>
      <c r="E31" s="21" t="s">
        <v>44</v>
      </c>
      <c r="F31" s="21" t="s">
        <v>22</v>
      </c>
      <c r="G31" s="21" t="s">
        <v>23</v>
      </c>
      <c r="H31" s="21" t="s">
        <v>75</v>
      </c>
      <c r="I31" s="23">
        <v>133</v>
      </c>
      <c r="J31" s="24">
        <v>684.33</v>
      </c>
      <c r="K31" s="25">
        <v>8.7900000000000006E-2</v>
      </c>
      <c r="L31" s="24">
        <v>83015.59</v>
      </c>
      <c r="M31" s="24">
        <v>34345.599999999999</v>
      </c>
    </row>
    <row r="32" spans="1:13" ht="16.5" customHeight="1" x14ac:dyDescent="0.25">
      <c r="A32" s="16" t="s">
        <v>77</v>
      </c>
      <c r="B32" s="17">
        <v>45389</v>
      </c>
      <c r="C32" s="16" t="s">
        <v>72</v>
      </c>
      <c r="D32" s="16" t="s">
        <v>73</v>
      </c>
      <c r="E32" s="16" t="s">
        <v>40</v>
      </c>
      <c r="F32" s="16" t="s">
        <v>22</v>
      </c>
      <c r="G32" s="16" t="s">
        <v>66</v>
      </c>
      <c r="H32" s="16" t="s">
        <v>28</v>
      </c>
      <c r="I32" s="18">
        <v>107</v>
      </c>
      <c r="J32" s="19">
        <v>196.7</v>
      </c>
      <c r="K32" s="20">
        <v>2.52E-2</v>
      </c>
      <c r="L32" s="19">
        <v>20516.52</v>
      </c>
      <c r="M32" s="19">
        <v>6719.64</v>
      </c>
    </row>
    <row r="33" spans="1:13" ht="16.5" customHeight="1" x14ac:dyDescent="0.25">
      <c r="A33" s="21" t="s">
        <v>78</v>
      </c>
      <c r="B33" s="22">
        <v>45389</v>
      </c>
      <c r="C33" s="21" t="s">
        <v>72</v>
      </c>
      <c r="D33" s="21" t="s">
        <v>73</v>
      </c>
      <c r="E33" s="21" t="s">
        <v>36</v>
      </c>
      <c r="F33" s="21" t="s">
        <v>34</v>
      </c>
      <c r="G33" s="21" t="s">
        <v>18</v>
      </c>
      <c r="H33" s="21" t="s">
        <v>79</v>
      </c>
      <c r="I33" s="23">
        <v>439</v>
      </c>
      <c r="J33" s="24">
        <v>106.19</v>
      </c>
      <c r="K33" s="25">
        <v>2.7400000000000001E-2</v>
      </c>
      <c r="L33" s="24">
        <v>45340.09</v>
      </c>
      <c r="M33" s="24">
        <v>14460.46</v>
      </c>
    </row>
    <row r="34" spans="1:13" ht="16.5" customHeight="1" x14ac:dyDescent="0.25">
      <c r="A34" s="16" t="s">
        <v>80</v>
      </c>
      <c r="B34" s="17">
        <v>45392</v>
      </c>
      <c r="C34" s="16" t="s">
        <v>72</v>
      </c>
      <c r="D34" s="16" t="s">
        <v>73</v>
      </c>
      <c r="E34" s="16" t="s">
        <v>36</v>
      </c>
      <c r="F34" s="16" t="s">
        <v>17</v>
      </c>
      <c r="G34" s="16" t="s">
        <v>45</v>
      </c>
      <c r="H34" s="16" t="s">
        <v>24</v>
      </c>
      <c r="I34" s="18">
        <v>371</v>
      </c>
      <c r="J34" s="19">
        <v>113.74</v>
      </c>
      <c r="K34" s="20">
        <v>0.1547</v>
      </c>
      <c r="L34" s="19">
        <v>35669.58</v>
      </c>
      <c r="M34" s="19">
        <v>11081.72</v>
      </c>
    </row>
    <row r="35" spans="1:13" ht="16.5" customHeight="1" x14ac:dyDescent="0.25">
      <c r="A35" s="21" t="s">
        <v>81</v>
      </c>
      <c r="B35" s="22">
        <v>45395</v>
      </c>
      <c r="C35" s="21" t="s">
        <v>72</v>
      </c>
      <c r="D35" s="21" t="s">
        <v>73</v>
      </c>
      <c r="E35" s="21" t="s">
        <v>21</v>
      </c>
      <c r="F35" s="21" t="s">
        <v>50</v>
      </c>
      <c r="G35" s="21" t="s">
        <v>18</v>
      </c>
      <c r="H35" s="21" t="s">
        <v>75</v>
      </c>
      <c r="I35" s="23">
        <v>365</v>
      </c>
      <c r="J35" s="24">
        <v>77.92</v>
      </c>
      <c r="K35" s="25">
        <v>3.85E-2</v>
      </c>
      <c r="L35" s="24">
        <v>27345.83</v>
      </c>
      <c r="M35" s="24">
        <v>9905.49</v>
      </c>
    </row>
    <row r="36" spans="1:13" ht="16.5" customHeight="1" x14ac:dyDescent="0.25">
      <c r="A36" s="16" t="s">
        <v>82</v>
      </c>
      <c r="B36" s="17">
        <v>45398</v>
      </c>
      <c r="C36" s="16" t="s">
        <v>72</v>
      </c>
      <c r="D36" s="16" t="s">
        <v>73</v>
      </c>
      <c r="E36" s="16" t="s">
        <v>83</v>
      </c>
      <c r="F36" s="16" t="s">
        <v>22</v>
      </c>
      <c r="G36" s="16" t="s">
        <v>66</v>
      </c>
      <c r="H36" s="16" t="s">
        <v>75</v>
      </c>
      <c r="I36" s="18">
        <v>122</v>
      </c>
      <c r="J36" s="19">
        <v>70.91</v>
      </c>
      <c r="K36" s="20">
        <v>8.7400000000000005E-2</v>
      </c>
      <c r="L36" s="19">
        <v>7894.92</v>
      </c>
      <c r="M36" s="19">
        <v>2828.98</v>
      </c>
    </row>
    <row r="37" spans="1:13" ht="16.5" customHeight="1" x14ac:dyDescent="0.25">
      <c r="A37" s="21" t="s">
        <v>84</v>
      </c>
      <c r="B37" s="22">
        <v>45405</v>
      </c>
      <c r="C37" s="21" t="s">
        <v>72</v>
      </c>
      <c r="D37" s="21" t="s">
        <v>73</v>
      </c>
      <c r="E37" s="21" t="s">
        <v>83</v>
      </c>
      <c r="F37" s="21" t="s">
        <v>34</v>
      </c>
      <c r="G37" s="21" t="s">
        <v>66</v>
      </c>
      <c r="H37" s="21" t="s">
        <v>28</v>
      </c>
      <c r="I37" s="23">
        <v>45</v>
      </c>
      <c r="J37" s="24">
        <v>66.819999999999993</v>
      </c>
      <c r="K37" s="25">
        <v>4.1000000000000002E-2</v>
      </c>
      <c r="L37" s="24">
        <v>2883.62</v>
      </c>
      <c r="M37" s="24">
        <v>990.26</v>
      </c>
    </row>
    <row r="38" spans="1:13" ht="16.5" customHeight="1" x14ac:dyDescent="0.25">
      <c r="A38" s="16" t="s">
        <v>85</v>
      </c>
      <c r="B38" s="17">
        <v>45407</v>
      </c>
      <c r="C38" s="16" t="s">
        <v>72</v>
      </c>
      <c r="D38" s="16" t="s">
        <v>73</v>
      </c>
      <c r="E38" s="16" t="s">
        <v>21</v>
      </c>
      <c r="F38" s="16" t="s">
        <v>50</v>
      </c>
      <c r="G38" s="16" t="s">
        <v>18</v>
      </c>
      <c r="H38" s="16" t="s">
        <v>41</v>
      </c>
      <c r="I38" s="18">
        <v>182</v>
      </c>
      <c r="J38" s="19">
        <v>76.89</v>
      </c>
      <c r="K38" s="20">
        <v>6.8400000000000002E-2</v>
      </c>
      <c r="L38" s="19">
        <v>13036.79</v>
      </c>
      <c r="M38" s="19">
        <v>4613.03</v>
      </c>
    </row>
    <row r="39" spans="1:13" ht="16.5" customHeight="1" x14ac:dyDescent="0.25">
      <c r="A39" s="21" t="s">
        <v>86</v>
      </c>
      <c r="B39" s="22">
        <v>45408</v>
      </c>
      <c r="C39" s="21" t="s">
        <v>72</v>
      </c>
      <c r="D39" s="21" t="s">
        <v>73</v>
      </c>
      <c r="E39" s="21" t="s">
        <v>30</v>
      </c>
      <c r="F39" s="21" t="s">
        <v>22</v>
      </c>
      <c r="G39" s="21" t="s">
        <v>45</v>
      </c>
      <c r="H39" s="21" t="s">
        <v>19</v>
      </c>
      <c r="I39" s="23">
        <v>252</v>
      </c>
      <c r="J39" s="24">
        <v>246.97</v>
      </c>
      <c r="K39" s="25">
        <v>3.4299999999999997E-2</v>
      </c>
      <c r="L39" s="24">
        <v>60101.73</v>
      </c>
      <c r="M39" s="24">
        <v>18904.38</v>
      </c>
    </row>
    <row r="40" spans="1:13" ht="16.5" customHeight="1" x14ac:dyDescent="0.25">
      <c r="A40" s="16" t="s">
        <v>87</v>
      </c>
      <c r="B40" s="17">
        <v>45409</v>
      </c>
      <c r="C40" s="16" t="s">
        <v>72</v>
      </c>
      <c r="D40" s="16" t="s">
        <v>73</v>
      </c>
      <c r="E40" s="16" t="s">
        <v>36</v>
      </c>
      <c r="F40" s="16" t="s">
        <v>27</v>
      </c>
      <c r="G40" s="16" t="s">
        <v>45</v>
      </c>
      <c r="H40" s="16" t="s">
        <v>79</v>
      </c>
      <c r="I40" s="18">
        <v>26</v>
      </c>
      <c r="J40" s="19">
        <v>128.79</v>
      </c>
      <c r="K40" s="20">
        <v>7.22E-2</v>
      </c>
      <c r="L40" s="19">
        <v>3106.78</v>
      </c>
      <c r="M40" s="19">
        <v>962.88</v>
      </c>
    </row>
    <row r="41" spans="1:13" ht="16.5" customHeight="1" x14ac:dyDescent="0.25">
      <c r="A41" s="21" t="s">
        <v>88</v>
      </c>
      <c r="B41" s="22">
        <v>45419</v>
      </c>
      <c r="C41" s="21" t="s">
        <v>89</v>
      </c>
      <c r="D41" s="21" t="s">
        <v>73</v>
      </c>
      <c r="E41" s="21" t="s">
        <v>62</v>
      </c>
      <c r="F41" s="21" t="s">
        <v>50</v>
      </c>
      <c r="G41" s="21" t="s">
        <v>23</v>
      </c>
      <c r="H41" s="21" t="s">
        <v>37</v>
      </c>
      <c r="I41" s="23">
        <v>352</v>
      </c>
      <c r="J41" s="24">
        <v>168.3</v>
      </c>
      <c r="K41" s="25">
        <v>4.2999999999999997E-2</v>
      </c>
      <c r="L41" s="24">
        <v>56694.21</v>
      </c>
      <c r="M41" s="24">
        <v>20374.080000000002</v>
      </c>
    </row>
    <row r="42" spans="1:13" ht="16.5" customHeight="1" x14ac:dyDescent="0.25">
      <c r="A42" s="16" t="s">
        <v>90</v>
      </c>
      <c r="B42" s="17">
        <v>45424</v>
      </c>
      <c r="C42" s="16" t="s">
        <v>89</v>
      </c>
      <c r="D42" s="16" t="s">
        <v>73</v>
      </c>
      <c r="E42" s="16" t="s">
        <v>36</v>
      </c>
      <c r="F42" s="16" t="s">
        <v>17</v>
      </c>
      <c r="G42" s="16" t="s">
        <v>66</v>
      </c>
      <c r="H42" s="16" t="s">
        <v>58</v>
      </c>
      <c r="I42" s="18">
        <v>201</v>
      </c>
      <c r="J42" s="19">
        <v>118</v>
      </c>
      <c r="K42" s="20">
        <v>4.3999999999999997E-2</v>
      </c>
      <c r="L42" s="19">
        <v>22674.41</v>
      </c>
      <c r="M42" s="19">
        <v>8203.7800000000007</v>
      </c>
    </row>
    <row r="43" spans="1:13" ht="16.5" customHeight="1" x14ac:dyDescent="0.25">
      <c r="A43" s="21" t="s">
        <v>91</v>
      </c>
      <c r="B43" s="22">
        <v>45425</v>
      </c>
      <c r="C43" s="21" t="s">
        <v>89</v>
      </c>
      <c r="D43" s="21" t="s">
        <v>73</v>
      </c>
      <c r="E43" s="21" t="s">
        <v>83</v>
      </c>
      <c r="F43" s="21" t="s">
        <v>27</v>
      </c>
      <c r="G43" s="21" t="s">
        <v>18</v>
      </c>
      <c r="H43" s="21" t="s">
        <v>37</v>
      </c>
      <c r="I43" s="23">
        <v>290</v>
      </c>
      <c r="J43" s="24">
        <v>81.010000000000005</v>
      </c>
      <c r="K43" s="25">
        <v>5.4699999999999999E-2</v>
      </c>
      <c r="L43" s="24">
        <v>22207.84</v>
      </c>
      <c r="M43" s="24">
        <v>7362.51</v>
      </c>
    </row>
    <row r="44" spans="1:13" ht="16.5" customHeight="1" x14ac:dyDescent="0.25">
      <c r="A44" s="16" t="s">
        <v>92</v>
      </c>
      <c r="B44" s="17">
        <v>45426</v>
      </c>
      <c r="C44" s="16" t="s">
        <v>89</v>
      </c>
      <c r="D44" s="16" t="s">
        <v>73</v>
      </c>
      <c r="E44" s="16" t="s">
        <v>40</v>
      </c>
      <c r="F44" s="16" t="s">
        <v>50</v>
      </c>
      <c r="G44" s="16" t="s">
        <v>18</v>
      </c>
      <c r="H44" s="16" t="s">
        <v>58</v>
      </c>
      <c r="I44" s="18">
        <v>90</v>
      </c>
      <c r="J44" s="19">
        <v>192.83</v>
      </c>
      <c r="K44" s="20">
        <v>0.17169999999999999</v>
      </c>
      <c r="L44" s="19">
        <v>14374.9</v>
      </c>
      <c r="M44" s="19">
        <v>6201.01</v>
      </c>
    </row>
    <row r="45" spans="1:13" ht="16.5" customHeight="1" x14ac:dyDescent="0.25">
      <c r="A45" s="21" t="s">
        <v>93</v>
      </c>
      <c r="B45" s="22">
        <v>45426</v>
      </c>
      <c r="C45" s="21" t="s">
        <v>89</v>
      </c>
      <c r="D45" s="21" t="s">
        <v>73</v>
      </c>
      <c r="E45" s="21" t="s">
        <v>30</v>
      </c>
      <c r="F45" s="21" t="s">
        <v>22</v>
      </c>
      <c r="G45" s="21" t="s">
        <v>66</v>
      </c>
      <c r="H45" s="21" t="s">
        <v>79</v>
      </c>
      <c r="I45" s="23">
        <v>366</v>
      </c>
      <c r="J45" s="24">
        <v>255.24</v>
      </c>
      <c r="K45" s="25">
        <v>0.1792</v>
      </c>
      <c r="L45" s="24">
        <v>76677.36</v>
      </c>
      <c r="M45" s="24">
        <v>29395.439999999999</v>
      </c>
    </row>
    <row r="46" spans="1:13" ht="16.5" customHeight="1" x14ac:dyDescent="0.25">
      <c r="A46" s="16" t="s">
        <v>94</v>
      </c>
      <c r="B46" s="17">
        <v>45427</v>
      </c>
      <c r="C46" s="16" t="s">
        <v>89</v>
      </c>
      <c r="D46" s="16" t="s">
        <v>73</v>
      </c>
      <c r="E46" s="16" t="s">
        <v>16</v>
      </c>
      <c r="F46" s="16" t="s">
        <v>50</v>
      </c>
      <c r="G46" s="16" t="s">
        <v>31</v>
      </c>
      <c r="H46" s="16" t="s">
        <v>24</v>
      </c>
      <c r="I46" s="18">
        <v>335</v>
      </c>
      <c r="J46" s="19">
        <v>3024.52</v>
      </c>
      <c r="K46" s="20">
        <v>2.93E-2</v>
      </c>
      <c r="L46" s="19">
        <v>983527.02</v>
      </c>
      <c r="M46" s="19">
        <v>347470.86</v>
      </c>
    </row>
    <row r="47" spans="1:13" ht="16.5" customHeight="1" x14ac:dyDescent="0.25">
      <c r="A47" s="21" t="s">
        <v>95</v>
      </c>
      <c r="B47" s="22">
        <v>45427</v>
      </c>
      <c r="C47" s="21" t="s">
        <v>89</v>
      </c>
      <c r="D47" s="21" t="s">
        <v>73</v>
      </c>
      <c r="E47" s="21" t="s">
        <v>69</v>
      </c>
      <c r="F47" s="21" t="s">
        <v>27</v>
      </c>
      <c r="G47" s="21" t="s">
        <v>31</v>
      </c>
      <c r="H47" s="21" t="s">
        <v>58</v>
      </c>
      <c r="I47" s="23">
        <v>49</v>
      </c>
      <c r="J47" s="24">
        <v>157.69</v>
      </c>
      <c r="K47" s="25">
        <v>4.2200000000000001E-2</v>
      </c>
      <c r="L47" s="24">
        <v>7400.74</v>
      </c>
      <c r="M47" s="24">
        <v>2593.0500000000002</v>
      </c>
    </row>
    <row r="48" spans="1:13" ht="16.5" customHeight="1" x14ac:dyDescent="0.25">
      <c r="A48" s="16" t="s">
        <v>96</v>
      </c>
      <c r="B48" s="17">
        <v>45430</v>
      </c>
      <c r="C48" s="16" t="s">
        <v>89</v>
      </c>
      <c r="D48" s="16" t="s">
        <v>73</v>
      </c>
      <c r="E48" s="16" t="s">
        <v>21</v>
      </c>
      <c r="F48" s="16" t="s">
        <v>34</v>
      </c>
      <c r="G48" s="16" t="s">
        <v>23</v>
      </c>
      <c r="H48" s="16" t="s">
        <v>28</v>
      </c>
      <c r="I48" s="18">
        <v>17</v>
      </c>
      <c r="J48" s="19">
        <v>86.07</v>
      </c>
      <c r="K48" s="20">
        <v>1.6799999999999999E-2</v>
      </c>
      <c r="L48" s="19">
        <v>1438.61</v>
      </c>
      <c r="M48" s="19">
        <v>645.70000000000005</v>
      </c>
    </row>
    <row r="49" spans="1:13" ht="16.5" customHeight="1" x14ac:dyDescent="0.25">
      <c r="A49" s="21" t="s">
        <v>97</v>
      </c>
      <c r="B49" s="22">
        <v>45432</v>
      </c>
      <c r="C49" s="21" t="s">
        <v>89</v>
      </c>
      <c r="D49" s="21" t="s">
        <v>73</v>
      </c>
      <c r="E49" s="21" t="s">
        <v>21</v>
      </c>
      <c r="F49" s="21" t="s">
        <v>22</v>
      </c>
      <c r="G49" s="21" t="s">
        <v>45</v>
      </c>
      <c r="H49" s="21" t="s">
        <v>19</v>
      </c>
      <c r="I49" s="23">
        <v>393</v>
      </c>
      <c r="J49" s="24">
        <v>91.61</v>
      </c>
      <c r="K49" s="25">
        <v>0.1658</v>
      </c>
      <c r="L49" s="24">
        <v>30033.48</v>
      </c>
      <c r="M49" s="24">
        <v>10988.44</v>
      </c>
    </row>
    <row r="50" spans="1:13" ht="16.5" customHeight="1" x14ac:dyDescent="0.25">
      <c r="A50" s="16" t="s">
        <v>98</v>
      </c>
      <c r="B50" s="17">
        <v>45436</v>
      </c>
      <c r="C50" s="16" t="s">
        <v>89</v>
      </c>
      <c r="D50" s="16" t="s">
        <v>73</v>
      </c>
      <c r="E50" s="16" t="s">
        <v>30</v>
      </c>
      <c r="F50" s="16" t="s">
        <v>34</v>
      </c>
      <c r="G50" s="16" t="s">
        <v>66</v>
      </c>
      <c r="H50" s="16" t="s">
        <v>41</v>
      </c>
      <c r="I50" s="18">
        <v>311</v>
      </c>
      <c r="J50" s="19">
        <v>256.31</v>
      </c>
      <c r="K50" s="20">
        <v>9.4399999999999998E-2</v>
      </c>
      <c r="L50" s="19">
        <v>72187.56</v>
      </c>
      <c r="M50" s="19">
        <v>24720.62</v>
      </c>
    </row>
    <row r="51" spans="1:13" ht="16.5" customHeight="1" x14ac:dyDescent="0.25">
      <c r="A51" s="21" t="s">
        <v>99</v>
      </c>
      <c r="B51" s="22">
        <v>45436</v>
      </c>
      <c r="C51" s="21" t="s">
        <v>89</v>
      </c>
      <c r="D51" s="21" t="s">
        <v>73</v>
      </c>
      <c r="E51" s="21" t="s">
        <v>30</v>
      </c>
      <c r="F51" s="21" t="s">
        <v>17</v>
      </c>
      <c r="G51" s="21" t="s">
        <v>66</v>
      </c>
      <c r="H51" s="21" t="s">
        <v>19</v>
      </c>
      <c r="I51" s="23">
        <v>455</v>
      </c>
      <c r="J51" s="24">
        <v>221.1</v>
      </c>
      <c r="K51" s="25">
        <v>2.07E-2</v>
      </c>
      <c r="L51" s="24">
        <v>98518.07</v>
      </c>
      <c r="M51" s="24">
        <v>43784.78</v>
      </c>
    </row>
    <row r="52" spans="1:13" ht="16.5" customHeight="1" x14ac:dyDescent="0.25">
      <c r="A52" s="16" t="s">
        <v>100</v>
      </c>
      <c r="B52" s="17">
        <v>45440</v>
      </c>
      <c r="C52" s="16" t="s">
        <v>89</v>
      </c>
      <c r="D52" s="16" t="s">
        <v>73</v>
      </c>
      <c r="E52" s="16" t="s">
        <v>30</v>
      </c>
      <c r="F52" s="16" t="s">
        <v>34</v>
      </c>
      <c r="G52" s="16" t="s">
        <v>45</v>
      </c>
      <c r="H52" s="16" t="s">
        <v>58</v>
      </c>
      <c r="I52" s="18">
        <v>36</v>
      </c>
      <c r="J52" s="19">
        <v>207.49</v>
      </c>
      <c r="K52" s="20">
        <v>7.6200000000000004E-2</v>
      </c>
      <c r="L52" s="19">
        <v>6900.45</v>
      </c>
      <c r="M52" s="19">
        <v>2356.52</v>
      </c>
    </row>
    <row r="53" spans="1:13" ht="16.5" customHeight="1" x14ac:dyDescent="0.25">
      <c r="A53" s="21" t="s">
        <v>101</v>
      </c>
      <c r="B53" s="22">
        <v>45446</v>
      </c>
      <c r="C53" s="21" t="s">
        <v>102</v>
      </c>
      <c r="D53" s="21" t="s">
        <v>73</v>
      </c>
      <c r="E53" s="21" t="s">
        <v>36</v>
      </c>
      <c r="F53" s="21" t="s">
        <v>17</v>
      </c>
      <c r="G53" s="21" t="s">
        <v>18</v>
      </c>
      <c r="H53" s="21" t="s">
        <v>24</v>
      </c>
      <c r="I53" s="23">
        <v>273</v>
      </c>
      <c r="J53" s="24">
        <v>112.45</v>
      </c>
      <c r="K53" s="25">
        <v>0.12039999999999999</v>
      </c>
      <c r="L53" s="24">
        <v>27002.71</v>
      </c>
      <c r="M53" s="24">
        <v>8968.56</v>
      </c>
    </row>
    <row r="54" spans="1:13" ht="16.5" customHeight="1" x14ac:dyDescent="0.25">
      <c r="A54" s="16" t="s">
        <v>103</v>
      </c>
      <c r="B54" s="17">
        <v>45446</v>
      </c>
      <c r="C54" s="16" t="s">
        <v>102</v>
      </c>
      <c r="D54" s="16" t="s">
        <v>73</v>
      </c>
      <c r="E54" s="16" t="s">
        <v>21</v>
      </c>
      <c r="F54" s="16" t="s">
        <v>27</v>
      </c>
      <c r="G54" s="16" t="s">
        <v>45</v>
      </c>
      <c r="H54" s="16" t="s">
        <v>24</v>
      </c>
      <c r="I54" s="18">
        <v>460</v>
      </c>
      <c r="J54" s="19">
        <v>79.78</v>
      </c>
      <c r="K54" s="20">
        <v>5.1299999999999998E-2</v>
      </c>
      <c r="L54" s="19">
        <v>34816.15</v>
      </c>
      <c r="M54" s="19">
        <v>12733.23</v>
      </c>
    </row>
    <row r="55" spans="1:13" ht="16.5" customHeight="1" x14ac:dyDescent="0.25">
      <c r="A55" s="21" t="s">
        <v>104</v>
      </c>
      <c r="B55" s="22">
        <v>45446</v>
      </c>
      <c r="C55" s="21" t="s">
        <v>102</v>
      </c>
      <c r="D55" s="21" t="s">
        <v>73</v>
      </c>
      <c r="E55" s="21" t="s">
        <v>44</v>
      </c>
      <c r="F55" s="21" t="s">
        <v>50</v>
      </c>
      <c r="G55" s="21" t="s">
        <v>45</v>
      </c>
      <c r="H55" s="21" t="s">
        <v>24</v>
      </c>
      <c r="I55" s="23">
        <v>414</v>
      </c>
      <c r="J55" s="24">
        <v>633.54999999999995</v>
      </c>
      <c r="K55" s="25">
        <v>4.7600000000000003E-2</v>
      </c>
      <c r="L55" s="24">
        <v>249804.71</v>
      </c>
      <c r="M55" s="24">
        <v>79572.37</v>
      </c>
    </row>
    <row r="56" spans="1:13" ht="16.5" customHeight="1" x14ac:dyDescent="0.25">
      <c r="A56" s="16" t="s">
        <v>105</v>
      </c>
      <c r="B56" s="17">
        <v>45449</v>
      </c>
      <c r="C56" s="16" t="s">
        <v>102</v>
      </c>
      <c r="D56" s="16" t="s">
        <v>73</v>
      </c>
      <c r="E56" s="16" t="s">
        <v>69</v>
      </c>
      <c r="F56" s="16" t="s">
        <v>34</v>
      </c>
      <c r="G56" s="16" t="s">
        <v>18</v>
      </c>
      <c r="H56" s="16" t="s">
        <v>41</v>
      </c>
      <c r="I56" s="18">
        <v>164</v>
      </c>
      <c r="J56" s="19">
        <v>132.51</v>
      </c>
      <c r="K56" s="20">
        <v>9.6100000000000005E-2</v>
      </c>
      <c r="L56" s="19">
        <v>19643.23</v>
      </c>
      <c r="M56" s="19">
        <v>6701.22</v>
      </c>
    </row>
    <row r="57" spans="1:13" ht="16.5" customHeight="1" x14ac:dyDescent="0.25">
      <c r="A57" s="21" t="s">
        <v>106</v>
      </c>
      <c r="B57" s="22">
        <v>45456</v>
      </c>
      <c r="C57" s="21" t="s">
        <v>102</v>
      </c>
      <c r="D57" s="21" t="s">
        <v>73</v>
      </c>
      <c r="E57" s="21" t="s">
        <v>16</v>
      </c>
      <c r="F57" s="21" t="s">
        <v>22</v>
      </c>
      <c r="G57" s="21" t="s">
        <v>66</v>
      </c>
      <c r="H57" s="21" t="s">
        <v>24</v>
      </c>
      <c r="I57" s="23">
        <v>366</v>
      </c>
      <c r="J57" s="24">
        <v>2662.68</v>
      </c>
      <c r="K57" s="25">
        <v>2.29E-2</v>
      </c>
      <c r="L57" s="24">
        <v>952223.89</v>
      </c>
      <c r="M57" s="24">
        <v>345721.02</v>
      </c>
    </row>
    <row r="58" spans="1:13" ht="16.5" customHeight="1" x14ac:dyDescent="0.25">
      <c r="A58" s="16" t="s">
        <v>107</v>
      </c>
      <c r="B58" s="17">
        <v>45457</v>
      </c>
      <c r="C58" s="16" t="s">
        <v>102</v>
      </c>
      <c r="D58" s="16" t="s">
        <v>73</v>
      </c>
      <c r="E58" s="16" t="s">
        <v>44</v>
      </c>
      <c r="F58" s="16" t="s">
        <v>50</v>
      </c>
      <c r="G58" s="16" t="s">
        <v>45</v>
      </c>
      <c r="H58" s="16" t="s">
        <v>79</v>
      </c>
      <c r="I58" s="18">
        <v>391</v>
      </c>
      <c r="J58" s="19">
        <v>657.86</v>
      </c>
      <c r="K58" s="20">
        <v>6.3299999999999995E-2</v>
      </c>
      <c r="L58" s="19">
        <v>240941.03</v>
      </c>
      <c r="M58" s="19">
        <v>88681.19</v>
      </c>
    </row>
    <row r="59" spans="1:13" ht="16.5" customHeight="1" x14ac:dyDescent="0.25">
      <c r="A59" s="21" t="s">
        <v>108</v>
      </c>
      <c r="B59" s="22">
        <v>45457</v>
      </c>
      <c r="C59" s="21" t="s">
        <v>102</v>
      </c>
      <c r="D59" s="21" t="s">
        <v>73</v>
      </c>
      <c r="E59" s="21" t="s">
        <v>30</v>
      </c>
      <c r="F59" s="21" t="s">
        <v>22</v>
      </c>
      <c r="G59" s="21" t="s">
        <v>23</v>
      </c>
      <c r="H59" s="21" t="s">
        <v>41</v>
      </c>
      <c r="I59" s="23">
        <v>180</v>
      </c>
      <c r="J59" s="24">
        <v>220.12</v>
      </c>
      <c r="K59" s="25">
        <v>1.8800000000000001E-2</v>
      </c>
      <c r="L59" s="24">
        <v>38876.71</v>
      </c>
      <c r="M59" s="24">
        <v>12600.86</v>
      </c>
    </row>
    <row r="60" spans="1:13" ht="16.5" customHeight="1" x14ac:dyDescent="0.25">
      <c r="A60" s="16" t="s">
        <v>109</v>
      </c>
      <c r="B60" s="17">
        <v>45461</v>
      </c>
      <c r="C60" s="16" t="s">
        <v>102</v>
      </c>
      <c r="D60" s="16" t="s">
        <v>73</v>
      </c>
      <c r="E60" s="16" t="s">
        <v>36</v>
      </c>
      <c r="F60" s="16" t="s">
        <v>34</v>
      </c>
      <c r="G60" s="16" t="s">
        <v>23</v>
      </c>
      <c r="H60" s="16" t="s">
        <v>75</v>
      </c>
      <c r="I60" s="18">
        <v>229</v>
      </c>
      <c r="J60" s="19">
        <v>124.65</v>
      </c>
      <c r="K60" s="20">
        <v>1.24E-2</v>
      </c>
      <c r="L60" s="19">
        <v>28190.89</v>
      </c>
      <c r="M60" s="19">
        <v>11195.49</v>
      </c>
    </row>
    <row r="61" spans="1:13" ht="16.5" customHeight="1" x14ac:dyDescent="0.25">
      <c r="A61" s="21" t="s">
        <v>110</v>
      </c>
      <c r="B61" s="22">
        <v>45462</v>
      </c>
      <c r="C61" s="21" t="s">
        <v>102</v>
      </c>
      <c r="D61" s="21" t="s">
        <v>73</v>
      </c>
      <c r="E61" s="21" t="s">
        <v>36</v>
      </c>
      <c r="F61" s="21" t="s">
        <v>34</v>
      </c>
      <c r="G61" s="21" t="s">
        <v>45</v>
      </c>
      <c r="H61" s="21" t="s">
        <v>79</v>
      </c>
      <c r="I61" s="23">
        <v>292</v>
      </c>
      <c r="J61" s="24">
        <v>109.87</v>
      </c>
      <c r="K61" s="25">
        <v>2.29E-2</v>
      </c>
      <c r="L61" s="24">
        <v>31347.360000000001</v>
      </c>
      <c r="M61" s="24">
        <v>10853.67</v>
      </c>
    </row>
    <row r="62" spans="1:13" ht="16.5" customHeight="1" x14ac:dyDescent="0.25">
      <c r="A62" s="16" t="s">
        <v>111</v>
      </c>
      <c r="B62" s="17">
        <v>45462</v>
      </c>
      <c r="C62" s="16" t="s">
        <v>102</v>
      </c>
      <c r="D62" s="16" t="s">
        <v>73</v>
      </c>
      <c r="E62" s="16" t="s">
        <v>30</v>
      </c>
      <c r="F62" s="16" t="s">
        <v>50</v>
      </c>
      <c r="G62" s="16" t="s">
        <v>66</v>
      </c>
      <c r="H62" s="16" t="s">
        <v>19</v>
      </c>
      <c r="I62" s="18">
        <v>163</v>
      </c>
      <c r="J62" s="19">
        <v>237.67</v>
      </c>
      <c r="K62" s="20">
        <v>7.6399999999999996E-2</v>
      </c>
      <c r="L62" s="19">
        <v>35780.46</v>
      </c>
      <c r="M62" s="19">
        <v>12076.43</v>
      </c>
    </row>
    <row r="63" spans="1:13" ht="16.5" customHeight="1" x14ac:dyDescent="0.25">
      <c r="A63" s="21" t="s">
        <v>112</v>
      </c>
      <c r="B63" s="22">
        <v>45477</v>
      </c>
      <c r="C63" s="21" t="s">
        <v>113</v>
      </c>
      <c r="D63" s="21" t="s">
        <v>114</v>
      </c>
      <c r="E63" s="21" t="s">
        <v>69</v>
      </c>
      <c r="F63" s="21" t="s">
        <v>17</v>
      </c>
      <c r="G63" s="21" t="s">
        <v>31</v>
      </c>
      <c r="H63" s="21" t="s">
        <v>51</v>
      </c>
      <c r="I63" s="23">
        <v>288</v>
      </c>
      <c r="J63" s="24">
        <v>140.09</v>
      </c>
      <c r="K63" s="25">
        <v>2.6800000000000001E-2</v>
      </c>
      <c r="L63" s="24">
        <v>39264.65</v>
      </c>
      <c r="M63" s="24">
        <v>13343.89</v>
      </c>
    </row>
    <row r="64" spans="1:13" ht="16.5" customHeight="1" x14ac:dyDescent="0.25">
      <c r="A64" s="16" t="s">
        <v>115</v>
      </c>
      <c r="B64" s="17">
        <v>45481</v>
      </c>
      <c r="C64" s="16" t="s">
        <v>113</v>
      </c>
      <c r="D64" s="16" t="s">
        <v>114</v>
      </c>
      <c r="E64" s="16" t="s">
        <v>83</v>
      </c>
      <c r="F64" s="16" t="s">
        <v>22</v>
      </c>
      <c r="G64" s="16" t="s">
        <v>23</v>
      </c>
      <c r="H64" s="16" t="s">
        <v>58</v>
      </c>
      <c r="I64" s="18">
        <v>448</v>
      </c>
      <c r="J64" s="19">
        <v>79.959999999999994</v>
      </c>
      <c r="K64" s="20">
        <v>7.9000000000000008E-3</v>
      </c>
      <c r="L64" s="19">
        <v>35539.089999999997</v>
      </c>
      <c r="M64" s="19">
        <v>14631.65</v>
      </c>
    </row>
    <row r="65" spans="1:13" ht="16.5" customHeight="1" x14ac:dyDescent="0.25">
      <c r="A65" s="21" t="s">
        <v>116</v>
      </c>
      <c r="B65" s="22">
        <v>45483</v>
      </c>
      <c r="C65" s="21" t="s">
        <v>113</v>
      </c>
      <c r="D65" s="21" t="s">
        <v>114</v>
      </c>
      <c r="E65" s="21" t="s">
        <v>83</v>
      </c>
      <c r="F65" s="21" t="s">
        <v>17</v>
      </c>
      <c r="G65" s="21" t="s">
        <v>66</v>
      </c>
      <c r="H65" s="21" t="s">
        <v>41</v>
      </c>
      <c r="I65" s="23">
        <v>301</v>
      </c>
      <c r="J65" s="24">
        <v>77.180000000000007</v>
      </c>
      <c r="K65" s="25">
        <v>0.10970000000000001</v>
      </c>
      <c r="L65" s="24">
        <v>20682.72</v>
      </c>
      <c r="M65" s="24">
        <v>8500.8700000000008</v>
      </c>
    </row>
    <row r="66" spans="1:13" ht="16.5" customHeight="1" x14ac:dyDescent="0.25">
      <c r="A66" s="16" t="s">
        <v>117</v>
      </c>
      <c r="B66" s="17">
        <v>45485</v>
      </c>
      <c r="C66" s="16" t="s">
        <v>113</v>
      </c>
      <c r="D66" s="16" t="s">
        <v>114</v>
      </c>
      <c r="E66" s="16" t="s">
        <v>40</v>
      </c>
      <c r="F66" s="16" t="s">
        <v>17</v>
      </c>
      <c r="G66" s="16" t="s">
        <v>18</v>
      </c>
      <c r="H66" s="16" t="s">
        <v>41</v>
      </c>
      <c r="I66" s="18">
        <v>335</v>
      </c>
      <c r="J66" s="19">
        <v>213.33</v>
      </c>
      <c r="K66" s="20">
        <v>8.2799999999999999E-2</v>
      </c>
      <c r="L66" s="19">
        <v>65548.2</v>
      </c>
      <c r="M66" s="19">
        <v>21168.7</v>
      </c>
    </row>
    <row r="67" spans="1:13" ht="16.5" customHeight="1" x14ac:dyDescent="0.25">
      <c r="A67" s="21" t="s">
        <v>118</v>
      </c>
      <c r="B67" s="22">
        <v>45492</v>
      </c>
      <c r="C67" s="21" t="s">
        <v>113</v>
      </c>
      <c r="D67" s="21" t="s">
        <v>114</v>
      </c>
      <c r="E67" s="21" t="s">
        <v>44</v>
      </c>
      <c r="F67" s="21" t="s">
        <v>22</v>
      </c>
      <c r="G67" s="21" t="s">
        <v>18</v>
      </c>
      <c r="H67" s="21" t="s">
        <v>19</v>
      </c>
      <c r="I67" s="23">
        <v>390</v>
      </c>
      <c r="J67" s="24">
        <v>685.35</v>
      </c>
      <c r="K67" s="25">
        <v>0.15939999999999999</v>
      </c>
      <c r="L67" s="24">
        <v>224681.03</v>
      </c>
      <c r="M67" s="24">
        <v>89476.59</v>
      </c>
    </row>
    <row r="68" spans="1:13" ht="16.5" customHeight="1" x14ac:dyDescent="0.25">
      <c r="A68" s="16" t="s">
        <v>119</v>
      </c>
      <c r="B68" s="17">
        <v>45493</v>
      </c>
      <c r="C68" s="16" t="s">
        <v>113</v>
      </c>
      <c r="D68" s="16" t="s">
        <v>114</v>
      </c>
      <c r="E68" s="16" t="s">
        <v>44</v>
      </c>
      <c r="F68" s="16" t="s">
        <v>22</v>
      </c>
      <c r="G68" s="16" t="s">
        <v>23</v>
      </c>
      <c r="H68" s="16" t="s">
        <v>41</v>
      </c>
      <c r="I68" s="18">
        <v>315</v>
      </c>
      <c r="J68" s="19">
        <v>695.36</v>
      </c>
      <c r="K68" s="20">
        <v>4.0599999999999997E-2</v>
      </c>
      <c r="L68" s="19">
        <v>210145.44</v>
      </c>
      <c r="M68" s="19">
        <v>79516.070000000007</v>
      </c>
    </row>
    <row r="69" spans="1:13" ht="16.5" customHeight="1" x14ac:dyDescent="0.25">
      <c r="A69" s="21" t="s">
        <v>120</v>
      </c>
      <c r="B69" s="22">
        <v>45494</v>
      </c>
      <c r="C69" s="21" t="s">
        <v>113</v>
      </c>
      <c r="D69" s="21" t="s">
        <v>114</v>
      </c>
      <c r="E69" s="21" t="s">
        <v>30</v>
      </c>
      <c r="F69" s="21" t="s">
        <v>27</v>
      </c>
      <c r="G69" s="21" t="s">
        <v>45</v>
      </c>
      <c r="H69" s="21" t="s">
        <v>24</v>
      </c>
      <c r="I69" s="23">
        <v>244</v>
      </c>
      <c r="J69" s="24">
        <v>210.29</v>
      </c>
      <c r="K69" s="25">
        <v>2.5100000000000001E-2</v>
      </c>
      <c r="L69" s="24">
        <v>50022.86</v>
      </c>
      <c r="M69" s="24">
        <v>20596.830000000002</v>
      </c>
    </row>
    <row r="70" spans="1:13" ht="16.5" customHeight="1" x14ac:dyDescent="0.25">
      <c r="A70" s="16" t="s">
        <v>121</v>
      </c>
      <c r="B70" s="17">
        <v>45506</v>
      </c>
      <c r="C70" s="16" t="s">
        <v>122</v>
      </c>
      <c r="D70" s="16" t="s">
        <v>114</v>
      </c>
      <c r="E70" s="16" t="s">
        <v>26</v>
      </c>
      <c r="F70" s="16" t="s">
        <v>50</v>
      </c>
      <c r="G70" s="16" t="s">
        <v>23</v>
      </c>
      <c r="H70" s="16" t="s">
        <v>58</v>
      </c>
      <c r="I70" s="18">
        <v>306</v>
      </c>
      <c r="J70" s="19">
        <v>91.92</v>
      </c>
      <c r="K70" s="20">
        <v>2.3699999999999999E-2</v>
      </c>
      <c r="L70" s="19">
        <v>27460.9</v>
      </c>
      <c r="M70" s="19">
        <v>11985.15</v>
      </c>
    </row>
    <row r="71" spans="1:13" ht="16.5" customHeight="1" x14ac:dyDescent="0.25">
      <c r="A71" s="21" t="s">
        <v>123</v>
      </c>
      <c r="B71" s="22">
        <v>45510</v>
      </c>
      <c r="C71" s="21" t="s">
        <v>122</v>
      </c>
      <c r="D71" s="21" t="s">
        <v>114</v>
      </c>
      <c r="E71" s="21" t="s">
        <v>44</v>
      </c>
      <c r="F71" s="21" t="s">
        <v>50</v>
      </c>
      <c r="G71" s="21" t="s">
        <v>18</v>
      </c>
      <c r="H71" s="21" t="s">
        <v>75</v>
      </c>
      <c r="I71" s="23">
        <v>390</v>
      </c>
      <c r="J71" s="24">
        <v>706.39</v>
      </c>
      <c r="K71" s="25">
        <v>8.1000000000000003E-2</v>
      </c>
      <c r="L71" s="24">
        <v>253177.24</v>
      </c>
      <c r="M71" s="24">
        <v>104503.09</v>
      </c>
    </row>
    <row r="72" spans="1:13" ht="16.5" customHeight="1" x14ac:dyDescent="0.25">
      <c r="A72" s="16" t="s">
        <v>124</v>
      </c>
      <c r="B72" s="17">
        <v>45511</v>
      </c>
      <c r="C72" s="16" t="s">
        <v>122</v>
      </c>
      <c r="D72" s="16" t="s">
        <v>114</v>
      </c>
      <c r="E72" s="16" t="s">
        <v>21</v>
      </c>
      <c r="F72" s="16" t="s">
        <v>50</v>
      </c>
      <c r="G72" s="16" t="s">
        <v>18</v>
      </c>
      <c r="H72" s="16" t="s">
        <v>51</v>
      </c>
      <c r="I72" s="18">
        <v>191</v>
      </c>
      <c r="J72" s="19">
        <v>91.08</v>
      </c>
      <c r="K72" s="20">
        <v>6.13E-2</v>
      </c>
      <c r="L72" s="19">
        <v>16329.89</v>
      </c>
      <c r="M72" s="19">
        <v>7055.3</v>
      </c>
    </row>
    <row r="73" spans="1:13" ht="16.5" customHeight="1" x14ac:dyDescent="0.25">
      <c r="A73" s="21" t="s">
        <v>125</v>
      </c>
      <c r="B73" s="22">
        <v>45512</v>
      </c>
      <c r="C73" s="21" t="s">
        <v>122</v>
      </c>
      <c r="D73" s="21" t="s">
        <v>114</v>
      </c>
      <c r="E73" s="21" t="s">
        <v>26</v>
      </c>
      <c r="F73" s="21" t="s">
        <v>34</v>
      </c>
      <c r="G73" s="21" t="s">
        <v>23</v>
      </c>
      <c r="H73" s="21" t="s">
        <v>37</v>
      </c>
      <c r="I73" s="23">
        <v>394</v>
      </c>
      <c r="J73" s="24">
        <v>94.2</v>
      </c>
      <c r="K73" s="25">
        <v>0.1099</v>
      </c>
      <c r="L73" s="24">
        <v>33035.879999999997</v>
      </c>
      <c r="M73" s="24">
        <v>11788.8</v>
      </c>
    </row>
    <row r="74" spans="1:13" ht="16.5" customHeight="1" x14ac:dyDescent="0.25">
      <c r="A74" s="16" t="s">
        <v>126</v>
      </c>
      <c r="B74" s="17">
        <v>45513</v>
      </c>
      <c r="C74" s="16" t="s">
        <v>122</v>
      </c>
      <c r="D74" s="16" t="s">
        <v>114</v>
      </c>
      <c r="E74" s="16" t="s">
        <v>26</v>
      </c>
      <c r="F74" s="16" t="s">
        <v>27</v>
      </c>
      <c r="G74" s="16" t="s">
        <v>66</v>
      </c>
      <c r="H74" s="16" t="s">
        <v>28</v>
      </c>
      <c r="I74" s="18">
        <v>351</v>
      </c>
      <c r="J74" s="19">
        <v>83.81</v>
      </c>
      <c r="K74" s="20">
        <v>0.14480000000000001</v>
      </c>
      <c r="L74" s="19">
        <v>25157.68</v>
      </c>
      <c r="M74" s="19">
        <v>10948.15</v>
      </c>
    </row>
    <row r="75" spans="1:13" ht="16.5" customHeight="1" x14ac:dyDescent="0.25">
      <c r="A75" s="21" t="s">
        <v>127</v>
      </c>
      <c r="B75" s="22">
        <v>45518</v>
      </c>
      <c r="C75" s="21" t="s">
        <v>122</v>
      </c>
      <c r="D75" s="21" t="s">
        <v>114</v>
      </c>
      <c r="E75" s="21" t="s">
        <v>44</v>
      </c>
      <c r="F75" s="21" t="s">
        <v>22</v>
      </c>
      <c r="G75" s="21" t="s">
        <v>31</v>
      </c>
      <c r="H75" s="21" t="s">
        <v>79</v>
      </c>
      <c r="I75" s="23">
        <v>37</v>
      </c>
      <c r="J75" s="24">
        <v>601.26</v>
      </c>
      <c r="K75" s="25">
        <v>6.5100000000000005E-2</v>
      </c>
      <c r="L75" s="24">
        <v>20798.37</v>
      </c>
      <c r="M75" s="24">
        <v>8599.43</v>
      </c>
    </row>
    <row r="76" spans="1:13" ht="16.5" customHeight="1" x14ac:dyDescent="0.25">
      <c r="A76" s="16" t="s">
        <v>128</v>
      </c>
      <c r="B76" s="17">
        <v>45519</v>
      </c>
      <c r="C76" s="16" t="s">
        <v>122</v>
      </c>
      <c r="D76" s="16" t="s">
        <v>114</v>
      </c>
      <c r="E76" s="16" t="s">
        <v>30</v>
      </c>
      <c r="F76" s="16" t="s">
        <v>17</v>
      </c>
      <c r="G76" s="16" t="s">
        <v>31</v>
      </c>
      <c r="H76" s="16" t="s">
        <v>41</v>
      </c>
      <c r="I76" s="18">
        <v>355</v>
      </c>
      <c r="J76" s="19">
        <v>214.2</v>
      </c>
      <c r="K76" s="20">
        <v>8.5199999999999998E-2</v>
      </c>
      <c r="L76" s="19">
        <v>69562.31</v>
      </c>
      <c r="M76" s="19">
        <v>30271.93</v>
      </c>
    </row>
    <row r="77" spans="1:13" ht="16.5" customHeight="1" x14ac:dyDescent="0.25">
      <c r="A77" s="21" t="s">
        <v>129</v>
      </c>
      <c r="B77" s="22">
        <v>45520</v>
      </c>
      <c r="C77" s="21" t="s">
        <v>122</v>
      </c>
      <c r="D77" s="21" t="s">
        <v>114</v>
      </c>
      <c r="E77" s="21" t="s">
        <v>16</v>
      </c>
      <c r="F77" s="21" t="s">
        <v>34</v>
      </c>
      <c r="G77" s="21" t="s">
        <v>23</v>
      </c>
      <c r="H77" s="21" t="s">
        <v>41</v>
      </c>
      <c r="I77" s="23">
        <v>119</v>
      </c>
      <c r="J77" s="24">
        <v>3045.05</v>
      </c>
      <c r="K77" s="25">
        <v>0.16239999999999999</v>
      </c>
      <c r="L77" s="24">
        <v>303513.53000000003</v>
      </c>
      <c r="M77" s="24">
        <v>98549.5</v>
      </c>
    </row>
    <row r="78" spans="1:13" ht="16.5" customHeight="1" x14ac:dyDescent="0.25">
      <c r="A78" s="16" t="s">
        <v>130</v>
      </c>
      <c r="B78" s="17">
        <v>45521</v>
      </c>
      <c r="C78" s="16" t="s">
        <v>122</v>
      </c>
      <c r="D78" s="16" t="s">
        <v>114</v>
      </c>
      <c r="E78" s="16" t="s">
        <v>21</v>
      </c>
      <c r="F78" s="16" t="s">
        <v>22</v>
      </c>
      <c r="G78" s="16" t="s">
        <v>23</v>
      </c>
      <c r="H78" s="16" t="s">
        <v>28</v>
      </c>
      <c r="I78" s="18">
        <v>343</v>
      </c>
      <c r="J78" s="19">
        <v>83.82</v>
      </c>
      <c r="K78" s="20">
        <v>5.0099999999999999E-2</v>
      </c>
      <c r="L78" s="19">
        <v>27309.87</v>
      </c>
      <c r="M78" s="19">
        <v>12276.93</v>
      </c>
    </row>
    <row r="79" spans="1:13" ht="16.5" customHeight="1" x14ac:dyDescent="0.25">
      <c r="A79" s="21" t="s">
        <v>131</v>
      </c>
      <c r="B79" s="22">
        <v>45523</v>
      </c>
      <c r="C79" s="21" t="s">
        <v>122</v>
      </c>
      <c r="D79" s="21" t="s">
        <v>114</v>
      </c>
      <c r="E79" s="21" t="s">
        <v>69</v>
      </c>
      <c r="F79" s="21" t="s">
        <v>22</v>
      </c>
      <c r="G79" s="21" t="s">
        <v>45</v>
      </c>
      <c r="H79" s="21" t="s">
        <v>41</v>
      </c>
      <c r="I79" s="23">
        <v>152</v>
      </c>
      <c r="J79" s="24">
        <v>161.13999999999999</v>
      </c>
      <c r="K79" s="25">
        <v>1.1999999999999999E-3</v>
      </c>
      <c r="L79" s="24">
        <v>24463.89</v>
      </c>
      <c r="M79" s="24">
        <v>10296.19</v>
      </c>
    </row>
    <row r="80" spans="1:13" ht="16.5" customHeight="1" x14ac:dyDescent="0.25">
      <c r="A80" s="16" t="s">
        <v>132</v>
      </c>
      <c r="B80" s="17">
        <v>45527</v>
      </c>
      <c r="C80" s="16" t="s">
        <v>122</v>
      </c>
      <c r="D80" s="16" t="s">
        <v>114</v>
      </c>
      <c r="E80" s="16" t="s">
        <v>21</v>
      </c>
      <c r="F80" s="16" t="s">
        <v>22</v>
      </c>
      <c r="G80" s="16" t="s">
        <v>66</v>
      </c>
      <c r="H80" s="16" t="s">
        <v>75</v>
      </c>
      <c r="I80" s="18">
        <v>159</v>
      </c>
      <c r="J80" s="19">
        <v>85.18</v>
      </c>
      <c r="K80" s="20">
        <v>4.9200000000000001E-2</v>
      </c>
      <c r="L80" s="19">
        <v>12877.27</v>
      </c>
      <c r="M80" s="19">
        <v>5475.53</v>
      </c>
    </row>
    <row r="81" spans="1:13" ht="16.5" customHeight="1" x14ac:dyDescent="0.25">
      <c r="A81" s="21" t="s">
        <v>133</v>
      </c>
      <c r="B81" s="22">
        <v>45532</v>
      </c>
      <c r="C81" s="21" t="s">
        <v>122</v>
      </c>
      <c r="D81" s="21" t="s">
        <v>114</v>
      </c>
      <c r="E81" s="21" t="s">
        <v>16</v>
      </c>
      <c r="F81" s="21" t="s">
        <v>34</v>
      </c>
      <c r="G81" s="21" t="s">
        <v>23</v>
      </c>
      <c r="H81" s="21" t="s">
        <v>37</v>
      </c>
      <c r="I81" s="23">
        <v>383</v>
      </c>
      <c r="J81" s="24">
        <v>2500.4</v>
      </c>
      <c r="K81" s="25">
        <v>0.1176</v>
      </c>
      <c r="L81" s="24">
        <v>845033.18</v>
      </c>
      <c r="M81" s="24">
        <v>335416.45</v>
      </c>
    </row>
    <row r="82" spans="1:13" ht="16.5" customHeight="1" x14ac:dyDescent="0.25">
      <c r="A82" s="16" t="s">
        <v>134</v>
      </c>
      <c r="B82" s="17">
        <v>45536</v>
      </c>
      <c r="C82" s="16" t="s">
        <v>135</v>
      </c>
      <c r="D82" s="16" t="s">
        <v>114</v>
      </c>
      <c r="E82" s="16" t="s">
        <v>44</v>
      </c>
      <c r="F82" s="16" t="s">
        <v>50</v>
      </c>
      <c r="G82" s="16" t="s">
        <v>66</v>
      </c>
      <c r="H82" s="16" t="s">
        <v>51</v>
      </c>
      <c r="I82" s="18">
        <v>316</v>
      </c>
      <c r="J82" s="19">
        <v>622.57000000000005</v>
      </c>
      <c r="K82" s="20">
        <v>3.5000000000000001E-3</v>
      </c>
      <c r="L82" s="19">
        <v>196043.56</v>
      </c>
      <c r="M82" s="19">
        <v>86134.64</v>
      </c>
    </row>
    <row r="83" spans="1:13" ht="16.5" customHeight="1" x14ac:dyDescent="0.25">
      <c r="A83" s="21" t="s">
        <v>136</v>
      </c>
      <c r="B83" s="22">
        <v>45537</v>
      </c>
      <c r="C83" s="21" t="s">
        <v>135</v>
      </c>
      <c r="D83" s="21" t="s">
        <v>114</v>
      </c>
      <c r="E83" s="21" t="s">
        <v>16</v>
      </c>
      <c r="F83" s="21" t="s">
        <v>22</v>
      </c>
      <c r="G83" s="21" t="s">
        <v>18</v>
      </c>
      <c r="H83" s="21" t="s">
        <v>51</v>
      </c>
      <c r="I83" s="23">
        <v>242</v>
      </c>
      <c r="J83" s="24">
        <v>2523.1799999999998</v>
      </c>
      <c r="K83" s="25">
        <v>4.5400000000000003E-2</v>
      </c>
      <c r="L83" s="24">
        <v>582887.89</v>
      </c>
      <c r="M83" s="24">
        <v>185001.76</v>
      </c>
    </row>
    <row r="84" spans="1:13" ht="16.5" customHeight="1" x14ac:dyDescent="0.25">
      <c r="A84" s="16" t="s">
        <v>137</v>
      </c>
      <c r="B84" s="17">
        <v>45537</v>
      </c>
      <c r="C84" s="16" t="s">
        <v>135</v>
      </c>
      <c r="D84" s="16" t="s">
        <v>114</v>
      </c>
      <c r="E84" s="16" t="s">
        <v>30</v>
      </c>
      <c r="F84" s="16" t="s">
        <v>17</v>
      </c>
      <c r="G84" s="16" t="s">
        <v>31</v>
      </c>
      <c r="H84" s="16" t="s">
        <v>19</v>
      </c>
      <c r="I84" s="18">
        <v>326</v>
      </c>
      <c r="J84" s="19">
        <v>206.18</v>
      </c>
      <c r="K84" s="20">
        <v>0.11360000000000001</v>
      </c>
      <c r="L84" s="19">
        <v>59579.09</v>
      </c>
      <c r="M84" s="19">
        <v>26103.94</v>
      </c>
    </row>
    <row r="85" spans="1:13" ht="16.5" customHeight="1" x14ac:dyDescent="0.25">
      <c r="A85" s="21" t="s">
        <v>138</v>
      </c>
      <c r="B85" s="22">
        <v>45539</v>
      </c>
      <c r="C85" s="21" t="s">
        <v>135</v>
      </c>
      <c r="D85" s="21" t="s">
        <v>114</v>
      </c>
      <c r="E85" s="21" t="s">
        <v>30</v>
      </c>
      <c r="F85" s="21" t="s">
        <v>34</v>
      </c>
      <c r="G85" s="21" t="s">
        <v>66</v>
      </c>
      <c r="H85" s="21" t="s">
        <v>58</v>
      </c>
      <c r="I85" s="23">
        <v>35</v>
      </c>
      <c r="J85" s="24">
        <v>238.4</v>
      </c>
      <c r="K85" s="25">
        <v>9.7299999999999998E-2</v>
      </c>
      <c r="L85" s="24">
        <v>7532.13</v>
      </c>
      <c r="M85" s="24">
        <v>2276.31</v>
      </c>
    </row>
    <row r="86" spans="1:13" ht="16.5" customHeight="1" x14ac:dyDescent="0.25">
      <c r="A86" s="16" t="s">
        <v>139</v>
      </c>
      <c r="B86" s="17">
        <v>45540</v>
      </c>
      <c r="C86" s="16" t="s">
        <v>135</v>
      </c>
      <c r="D86" s="16" t="s">
        <v>114</v>
      </c>
      <c r="E86" s="16" t="s">
        <v>26</v>
      </c>
      <c r="F86" s="16" t="s">
        <v>34</v>
      </c>
      <c r="G86" s="16" t="s">
        <v>18</v>
      </c>
      <c r="H86" s="16" t="s">
        <v>79</v>
      </c>
      <c r="I86" s="18">
        <v>484</v>
      </c>
      <c r="J86" s="19">
        <v>90.17</v>
      </c>
      <c r="K86" s="20">
        <v>0.15859999999999999</v>
      </c>
      <c r="L86" s="19">
        <v>36720.61</v>
      </c>
      <c r="M86" s="19">
        <v>13686.02</v>
      </c>
    </row>
    <row r="87" spans="1:13" ht="16.5" customHeight="1" x14ac:dyDescent="0.25">
      <c r="A87" s="21" t="s">
        <v>140</v>
      </c>
      <c r="B87" s="22">
        <v>45541</v>
      </c>
      <c r="C87" s="21" t="s">
        <v>135</v>
      </c>
      <c r="D87" s="21" t="s">
        <v>114</v>
      </c>
      <c r="E87" s="21" t="s">
        <v>30</v>
      </c>
      <c r="F87" s="21" t="s">
        <v>27</v>
      </c>
      <c r="G87" s="21" t="s">
        <v>66</v>
      </c>
      <c r="H87" s="21" t="s">
        <v>41</v>
      </c>
      <c r="I87" s="23">
        <v>145</v>
      </c>
      <c r="J87" s="24">
        <v>231.53</v>
      </c>
      <c r="K87" s="25">
        <v>0.10920000000000001</v>
      </c>
      <c r="L87" s="24">
        <v>29905.8</v>
      </c>
      <c r="M87" s="24">
        <v>13297.75</v>
      </c>
    </row>
    <row r="88" spans="1:13" ht="16.5" customHeight="1" x14ac:dyDescent="0.25">
      <c r="A88" s="16" t="s">
        <v>141</v>
      </c>
      <c r="B88" s="17">
        <v>45541</v>
      </c>
      <c r="C88" s="16" t="s">
        <v>135</v>
      </c>
      <c r="D88" s="16" t="s">
        <v>114</v>
      </c>
      <c r="E88" s="16" t="s">
        <v>44</v>
      </c>
      <c r="F88" s="16" t="s">
        <v>27</v>
      </c>
      <c r="G88" s="16" t="s">
        <v>31</v>
      </c>
      <c r="H88" s="16" t="s">
        <v>79</v>
      </c>
      <c r="I88" s="18">
        <v>39</v>
      </c>
      <c r="J88" s="19">
        <v>721.88</v>
      </c>
      <c r="K88" s="20">
        <v>1.44E-2</v>
      </c>
      <c r="L88" s="19">
        <v>27747.91</v>
      </c>
      <c r="M88" s="19">
        <v>9097.81</v>
      </c>
    </row>
    <row r="89" spans="1:13" ht="16.5" customHeight="1" x14ac:dyDescent="0.25">
      <c r="A89" s="21" t="s">
        <v>142</v>
      </c>
      <c r="B89" s="22">
        <v>45544</v>
      </c>
      <c r="C89" s="21" t="s">
        <v>135</v>
      </c>
      <c r="D89" s="21" t="s">
        <v>114</v>
      </c>
      <c r="E89" s="21" t="s">
        <v>62</v>
      </c>
      <c r="F89" s="21" t="s">
        <v>27</v>
      </c>
      <c r="G89" s="21" t="s">
        <v>23</v>
      </c>
      <c r="H89" s="21" t="s">
        <v>58</v>
      </c>
      <c r="I89" s="23">
        <v>430</v>
      </c>
      <c r="J89" s="24">
        <v>140.9</v>
      </c>
      <c r="K89" s="25">
        <v>0.13070000000000001</v>
      </c>
      <c r="L89" s="24">
        <v>52668.28</v>
      </c>
      <c r="M89" s="24">
        <v>22416.75</v>
      </c>
    </row>
    <row r="90" spans="1:13" ht="16.5" customHeight="1" x14ac:dyDescent="0.25">
      <c r="A90" s="16" t="s">
        <v>143</v>
      </c>
      <c r="B90" s="17">
        <v>45551</v>
      </c>
      <c r="C90" s="16" t="s">
        <v>135</v>
      </c>
      <c r="D90" s="16" t="s">
        <v>114</v>
      </c>
      <c r="E90" s="16" t="s">
        <v>30</v>
      </c>
      <c r="F90" s="16" t="s">
        <v>50</v>
      </c>
      <c r="G90" s="16" t="s">
        <v>66</v>
      </c>
      <c r="H90" s="16" t="s">
        <v>79</v>
      </c>
      <c r="I90" s="18">
        <v>186</v>
      </c>
      <c r="J90" s="19">
        <v>220.75</v>
      </c>
      <c r="K90" s="20">
        <v>0.13730000000000001</v>
      </c>
      <c r="L90" s="19">
        <v>35422.03</v>
      </c>
      <c r="M90" s="19">
        <v>12630.84</v>
      </c>
    </row>
    <row r="91" spans="1:13" ht="16.5" customHeight="1" x14ac:dyDescent="0.25">
      <c r="A91" s="21" t="s">
        <v>144</v>
      </c>
      <c r="B91" s="22">
        <v>45553</v>
      </c>
      <c r="C91" s="21" t="s">
        <v>135</v>
      </c>
      <c r="D91" s="21" t="s">
        <v>114</v>
      </c>
      <c r="E91" s="21" t="s">
        <v>26</v>
      </c>
      <c r="F91" s="21" t="s">
        <v>50</v>
      </c>
      <c r="G91" s="21" t="s">
        <v>18</v>
      </c>
      <c r="H91" s="21" t="s">
        <v>41</v>
      </c>
      <c r="I91" s="23">
        <v>262</v>
      </c>
      <c r="J91" s="24">
        <v>93.58</v>
      </c>
      <c r="K91" s="25">
        <v>0.1076</v>
      </c>
      <c r="L91" s="24">
        <v>21879.83</v>
      </c>
      <c r="M91" s="24">
        <v>9483.01</v>
      </c>
    </row>
    <row r="92" spans="1:13" ht="16.5" customHeight="1" x14ac:dyDescent="0.25">
      <c r="A92" s="16" t="s">
        <v>145</v>
      </c>
      <c r="B92" s="17">
        <v>45559</v>
      </c>
      <c r="C92" s="16" t="s">
        <v>135</v>
      </c>
      <c r="D92" s="16" t="s">
        <v>114</v>
      </c>
      <c r="E92" s="16" t="s">
        <v>21</v>
      </c>
      <c r="F92" s="16" t="s">
        <v>27</v>
      </c>
      <c r="G92" s="16" t="s">
        <v>66</v>
      </c>
      <c r="H92" s="16" t="s">
        <v>37</v>
      </c>
      <c r="I92" s="18">
        <v>135</v>
      </c>
      <c r="J92" s="19">
        <v>78.13</v>
      </c>
      <c r="K92" s="20">
        <v>6.83E-2</v>
      </c>
      <c r="L92" s="19">
        <v>9827.15</v>
      </c>
      <c r="M92" s="19">
        <v>4406.7700000000004</v>
      </c>
    </row>
    <row r="93" spans="1:13" ht="16.5" customHeight="1" x14ac:dyDescent="0.25">
      <c r="A93" s="21" t="s">
        <v>146</v>
      </c>
      <c r="B93" s="22">
        <v>45560</v>
      </c>
      <c r="C93" s="21" t="s">
        <v>135</v>
      </c>
      <c r="D93" s="21" t="s">
        <v>114</v>
      </c>
      <c r="E93" s="21" t="s">
        <v>83</v>
      </c>
      <c r="F93" s="21" t="s">
        <v>50</v>
      </c>
      <c r="G93" s="21" t="s">
        <v>66</v>
      </c>
      <c r="H93" s="21" t="s">
        <v>28</v>
      </c>
      <c r="I93" s="23">
        <v>257</v>
      </c>
      <c r="J93" s="24">
        <v>74.37</v>
      </c>
      <c r="K93" s="25">
        <v>0.14860000000000001</v>
      </c>
      <c r="L93" s="24">
        <v>16272.88</v>
      </c>
      <c r="M93" s="24">
        <v>6328.05</v>
      </c>
    </row>
    <row r="94" spans="1:13" ht="16.5" customHeight="1" x14ac:dyDescent="0.25">
      <c r="A94" s="16" t="s">
        <v>147</v>
      </c>
      <c r="B94" s="17">
        <v>45563</v>
      </c>
      <c r="C94" s="16" t="s">
        <v>135</v>
      </c>
      <c r="D94" s="16" t="s">
        <v>114</v>
      </c>
      <c r="E94" s="16" t="s">
        <v>26</v>
      </c>
      <c r="F94" s="16" t="s">
        <v>27</v>
      </c>
      <c r="G94" s="16" t="s">
        <v>45</v>
      </c>
      <c r="H94" s="16" t="s">
        <v>37</v>
      </c>
      <c r="I94" s="18">
        <v>492</v>
      </c>
      <c r="J94" s="19">
        <v>83.86</v>
      </c>
      <c r="K94" s="20">
        <v>0.12970000000000001</v>
      </c>
      <c r="L94" s="19">
        <v>35907.81</v>
      </c>
      <c r="M94" s="19">
        <v>14444.15</v>
      </c>
    </row>
    <row r="95" spans="1:13" ht="16.5" customHeight="1" x14ac:dyDescent="0.25">
      <c r="A95" s="21" t="s">
        <v>148</v>
      </c>
      <c r="B95" s="22">
        <v>45566</v>
      </c>
      <c r="C95" s="21" t="s">
        <v>149</v>
      </c>
      <c r="D95" s="21" t="s">
        <v>150</v>
      </c>
      <c r="E95" s="21" t="s">
        <v>40</v>
      </c>
      <c r="F95" s="21" t="s">
        <v>22</v>
      </c>
      <c r="G95" s="21" t="s">
        <v>66</v>
      </c>
      <c r="H95" s="21" t="s">
        <v>28</v>
      </c>
      <c r="I95" s="23">
        <v>485</v>
      </c>
      <c r="J95" s="24">
        <v>186.2</v>
      </c>
      <c r="K95" s="25">
        <v>0.12189999999999999</v>
      </c>
      <c r="L95" s="24">
        <v>79298.58</v>
      </c>
      <c r="M95" s="24">
        <v>35186.839999999997</v>
      </c>
    </row>
    <row r="96" spans="1:13" ht="16.5" customHeight="1" x14ac:dyDescent="0.25">
      <c r="A96" s="16" t="s">
        <v>151</v>
      </c>
      <c r="B96" s="17">
        <v>45568</v>
      </c>
      <c r="C96" s="16" t="s">
        <v>149</v>
      </c>
      <c r="D96" s="16" t="s">
        <v>150</v>
      </c>
      <c r="E96" s="16" t="s">
        <v>69</v>
      </c>
      <c r="F96" s="16" t="s">
        <v>27</v>
      </c>
      <c r="G96" s="16" t="s">
        <v>66</v>
      </c>
      <c r="H96" s="16" t="s">
        <v>58</v>
      </c>
      <c r="I96" s="18">
        <v>53</v>
      </c>
      <c r="J96" s="19">
        <v>158.35</v>
      </c>
      <c r="K96" s="20">
        <v>0.1469</v>
      </c>
      <c r="L96" s="19">
        <v>7159.68</v>
      </c>
      <c r="M96" s="19">
        <v>3198.21</v>
      </c>
    </row>
    <row r="97" spans="1:13" ht="16.5" customHeight="1" x14ac:dyDescent="0.25">
      <c r="A97" s="21" t="s">
        <v>152</v>
      </c>
      <c r="B97" s="22">
        <v>45572</v>
      </c>
      <c r="C97" s="21" t="s">
        <v>149</v>
      </c>
      <c r="D97" s="21" t="s">
        <v>150</v>
      </c>
      <c r="E97" s="21" t="s">
        <v>16</v>
      </c>
      <c r="F97" s="21" t="s">
        <v>27</v>
      </c>
      <c r="G97" s="21" t="s">
        <v>66</v>
      </c>
      <c r="H97" s="21" t="s">
        <v>37</v>
      </c>
      <c r="I97" s="23">
        <v>140</v>
      </c>
      <c r="J97" s="24">
        <v>2493.83</v>
      </c>
      <c r="K97" s="25">
        <v>7.85E-2</v>
      </c>
      <c r="L97" s="24">
        <v>321729.01</v>
      </c>
      <c r="M97" s="24">
        <v>121609.72</v>
      </c>
    </row>
    <row r="98" spans="1:13" ht="16.5" customHeight="1" x14ac:dyDescent="0.25">
      <c r="A98" s="16" t="s">
        <v>153</v>
      </c>
      <c r="B98" s="17">
        <v>45578</v>
      </c>
      <c r="C98" s="16" t="s">
        <v>149</v>
      </c>
      <c r="D98" s="16" t="s">
        <v>150</v>
      </c>
      <c r="E98" s="16" t="s">
        <v>16</v>
      </c>
      <c r="F98" s="16" t="s">
        <v>34</v>
      </c>
      <c r="G98" s="16" t="s">
        <v>31</v>
      </c>
      <c r="H98" s="16" t="s">
        <v>28</v>
      </c>
      <c r="I98" s="18">
        <v>195</v>
      </c>
      <c r="J98" s="19">
        <v>2611.38</v>
      </c>
      <c r="K98" s="20">
        <v>0.17960000000000001</v>
      </c>
      <c r="L98" s="19">
        <v>417763.35</v>
      </c>
      <c r="M98" s="19">
        <v>157258.22</v>
      </c>
    </row>
    <row r="99" spans="1:13" ht="16.5" customHeight="1" x14ac:dyDescent="0.25">
      <c r="A99" s="21" t="s">
        <v>154</v>
      </c>
      <c r="B99" s="22">
        <v>45583</v>
      </c>
      <c r="C99" s="21" t="s">
        <v>149</v>
      </c>
      <c r="D99" s="21" t="s">
        <v>150</v>
      </c>
      <c r="E99" s="21" t="s">
        <v>36</v>
      </c>
      <c r="F99" s="21" t="s">
        <v>34</v>
      </c>
      <c r="G99" s="21" t="s">
        <v>66</v>
      </c>
      <c r="H99" s="21" t="s">
        <v>28</v>
      </c>
      <c r="I99" s="23">
        <v>127</v>
      </c>
      <c r="J99" s="24">
        <v>122.55</v>
      </c>
      <c r="K99" s="25">
        <v>1.2999999999999999E-3</v>
      </c>
      <c r="L99" s="24">
        <v>15543.62</v>
      </c>
      <c r="M99" s="24">
        <v>6313.45</v>
      </c>
    </row>
    <row r="100" spans="1:13" ht="16.5" customHeight="1" x14ac:dyDescent="0.25">
      <c r="A100" s="16" t="s">
        <v>155</v>
      </c>
      <c r="B100" s="17">
        <v>45583</v>
      </c>
      <c r="C100" s="16" t="s">
        <v>149</v>
      </c>
      <c r="D100" s="16" t="s">
        <v>150</v>
      </c>
      <c r="E100" s="16" t="s">
        <v>21</v>
      </c>
      <c r="F100" s="16" t="s">
        <v>34</v>
      </c>
      <c r="G100" s="16" t="s">
        <v>23</v>
      </c>
      <c r="H100" s="16" t="s">
        <v>58</v>
      </c>
      <c r="I100" s="18">
        <v>23</v>
      </c>
      <c r="J100" s="19">
        <v>93.3</v>
      </c>
      <c r="K100" s="20">
        <v>0.1065</v>
      </c>
      <c r="L100" s="19">
        <v>1917.36</v>
      </c>
      <c r="M100" s="19">
        <v>765.89</v>
      </c>
    </row>
    <row r="101" spans="1:13" ht="16.5" customHeight="1" x14ac:dyDescent="0.25">
      <c r="A101" s="21" t="s">
        <v>156</v>
      </c>
      <c r="B101" s="22">
        <v>45591</v>
      </c>
      <c r="C101" s="21" t="s">
        <v>149</v>
      </c>
      <c r="D101" s="21" t="s">
        <v>150</v>
      </c>
      <c r="E101" s="21" t="s">
        <v>69</v>
      </c>
      <c r="F101" s="21" t="s">
        <v>17</v>
      </c>
      <c r="G101" s="21" t="s">
        <v>31</v>
      </c>
      <c r="H101" s="21" t="s">
        <v>51</v>
      </c>
      <c r="I101" s="23">
        <v>190</v>
      </c>
      <c r="J101" s="24">
        <v>139.88</v>
      </c>
      <c r="K101" s="25">
        <v>3.4200000000000001E-2</v>
      </c>
      <c r="L101" s="24">
        <v>25668.26</v>
      </c>
      <c r="M101" s="24">
        <v>8665.4500000000007</v>
      </c>
    </row>
    <row r="102" spans="1:13" ht="16.5" customHeight="1" x14ac:dyDescent="0.25">
      <c r="A102" s="16" t="s">
        <v>157</v>
      </c>
      <c r="B102" s="17">
        <v>45593</v>
      </c>
      <c r="C102" s="16" t="s">
        <v>149</v>
      </c>
      <c r="D102" s="16" t="s">
        <v>150</v>
      </c>
      <c r="E102" s="16" t="s">
        <v>40</v>
      </c>
      <c r="F102" s="16" t="s">
        <v>17</v>
      </c>
      <c r="G102" s="16" t="s">
        <v>66</v>
      </c>
      <c r="H102" s="16" t="s">
        <v>75</v>
      </c>
      <c r="I102" s="18">
        <v>205</v>
      </c>
      <c r="J102" s="19">
        <v>200.6</v>
      </c>
      <c r="K102" s="20">
        <v>4.3299999999999998E-2</v>
      </c>
      <c r="L102" s="19">
        <v>39342.370000000003</v>
      </c>
      <c r="M102" s="19">
        <v>17189.64</v>
      </c>
    </row>
    <row r="103" spans="1:13" ht="16.5" customHeight="1" x14ac:dyDescent="0.25">
      <c r="A103" s="21" t="s">
        <v>158</v>
      </c>
      <c r="B103" s="22">
        <v>45599</v>
      </c>
      <c r="C103" s="21" t="s">
        <v>159</v>
      </c>
      <c r="D103" s="21" t="s">
        <v>150</v>
      </c>
      <c r="E103" s="21" t="s">
        <v>69</v>
      </c>
      <c r="F103" s="21" t="s">
        <v>22</v>
      </c>
      <c r="G103" s="21" t="s">
        <v>31</v>
      </c>
      <c r="H103" s="21" t="s">
        <v>58</v>
      </c>
      <c r="I103" s="23">
        <v>335</v>
      </c>
      <c r="J103" s="24">
        <v>161.66</v>
      </c>
      <c r="K103" s="25">
        <v>0.16370000000000001</v>
      </c>
      <c r="L103" s="24">
        <v>45290.75</v>
      </c>
      <c r="M103" s="24">
        <v>15640.19</v>
      </c>
    </row>
    <row r="104" spans="1:13" ht="16.5" customHeight="1" x14ac:dyDescent="0.25">
      <c r="A104" s="16" t="s">
        <v>160</v>
      </c>
      <c r="B104" s="17">
        <v>45600</v>
      </c>
      <c r="C104" s="16" t="s">
        <v>159</v>
      </c>
      <c r="D104" s="16" t="s">
        <v>150</v>
      </c>
      <c r="E104" s="16" t="s">
        <v>69</v>
      </c>
      <c r="F104" s="16" t="s">
        <v>27</v>
      </c>
      <c r="G104" s="16" t="s">
        <v>66</v>
      </c>
      <c r="H104" s="16" t="s">
        <v>79</v>
      </c>
      <c r="I104" s="18">
        <v>191</v>
      </c>
      <c r="J104" s="19">
        <v>160.08000000000001</v>
      </c>
      <c r="K104" s="20">
        <v>0.15909999999999999</v>
      </c>
      <c r="L104" s="19">
        <v>25710.75</v>
      </c>
      <c r="M104" s="19">
        <v>9280.4699999999993</v>
      </c>
    </row>
    <row r="105" spans="1:13" ht="16.5" customHeight="1" x14ac:dyDescent="0.25">
      <c r="A105" s="21" t="s">
        <v>161</v>
      </c>
      <c r="B105" s="22">
        <v>45602</v>
      </c>
      <c r="C105" s="21" t="s">
        <v>159</v>
      </c>
      <c r="D105" s="21" t="s">
        <v>150</v>
      </c>
      <c r="E105" s="21" t="s">
        <v>21</v>
      </c>
      <c r="F105" s="21" t="s">
        <v>27</v>
      </c>
      <c r="G105" s="21" t="s">
        <v>23</v>
      </c>
      <c r="H105" s="21" t="s">
        <v>32</v>
      </c>
      <c r="I105" s="23">
        <v>415</v>
      </c>
      <c r="J105" s="24">
        <v>88.68</v>
      </c>
      <c r="K105" s="25">
        <v>0.1074</v>
      </c>
      <c r="L105" s="24">
        <v>32849.64</v>
      </c>
      <c r="M105" s="24">
        <v>11750.81</v>
      </c>
    </row>
    <row r="106" spans="1:13" ht="16.5" customHeight="1" x14ac:dyDescent="0.25">
      <c r="A106" s="16" t="s">
        <v>162</v>
      </c>
      <c r="B106" s="17">
        <v>45608</v>
      </c>
      <c r="C106" s="16" t="s">
        <v>159</v>
      </c>
      <c r="D106" s="16" t="s">
        <v>150</v>
      </c>
      <c r="E106" s="16" t="s">
        <v>16</v>
      </c>
      <c r="F106" s="16" t="s">
        <v>27</v>
      </c>
      <c r="G106" s="16" t="s">
        <v>45</v>
      </c>
      <c r="H106" s="16" t="s">
        <v>24</v>
      </c>
      <c r="I106" s="18">
        <v>65</v>
      </c>
      <c r="J106" s="19">
        <v>2917.49</v>
      </c>
      <c r="K106" s="20">
        <v>8.4900000000000003E-2</v>
      </c>
      <c r="L106" s="19">
        <v>173536.68</v>
      </c>
      <c r="M106" s="19">
        <v>68188.12</v>
      </c>
    </row>
    <row r="107" spans="1:13" ht="16.5" customHeight="1" x14ac:dyDescent="0.25">
      <c r="A107" s="21" t="s">
        <v>163</v>
      </c>
      <c r="B107" s="22">
        <v>45613</v>
      </c>
      <c r="C107" s="21" t="s">
        <v>159</v>
      </c>
      <c r="D107" s="21" t="s">
        <v>150</v>
      </c>
      <c r="E107" s="21" t="s">
        <v>30</v>
      </c>
      <c r="F107" s="21" t="s">
        <v>27</v>
      </c>
      <c r="G107" s="21" t="s">
        <v>18</v>
      </c>
      <c r="H107" s="21" t="s">
        <v>19</v>
      </c>
      <c r="I107" s="23">
        <v>296</v>
      </c>
      <c r="J107" s="24">
        <v>235.27</v>
      </c>
      <c r="K107" s="25">
        <v>0.17100000000000001</v>
      </c>
      <c r="L107" s="24">
        <v>57731.49</v>
      </c>
      <c r="M107" s="24">
        <v>25038.95</v>
      </c>
    </row>
    <row r="108" spans="1:13" ht="16.5" customHeight="1" x14ac:dyDescent="0.25">
      <c r="A108" s="16" t="s">
        <v>164</v>
      </c>
      <c r="B108" s="17">
        <v>45617</v>
      </c>
      <c r="C108" s="16" t="s">
        <v>159</v>
      </c>
      <c r="D108" s="16" t="s">
        <v>150</v>
      </c>
      <c r="E108" s="16" t="s">
        <v>16</v>
      </c>
      <c r="F108" s="16" t="s">
        <v>17</v>
      </c>
      <c r="G108" s="16" t="s">
        <v>31</v>
      </c>
      <c r="H108" s="16" t="s">
        <v>37</v>
      </c>
      <c r="I108" s="18">
        <v>201</v>
      </c>
      <c r="J108" s="19">
        <v>2758.4</v>
      </c>
      <c r="K108" s="20">
        <v>9.3200000000000005E-2</v>
      </c>
      <c r="L108" s="19">
        <v>502764.74</v>
      </c>
      <c r="M108" s="19">
        <v>159954.92000000001</v>
      </c>
    </row>
    <row r="109" spans="1:13" ht="16.5" customHeight="1" x14ac:dyDescent="0.25">
      <c r="A109" s="21" t="s">
        <v>165</v>
      </c>
      <c r="B109" s="22">
        <v>45617</v>
      </c>
      <c r="C109" s="21" t="s">
        <v>159</v>
      </c>
      <c r="D109" s="21" t="s">
        <v>150</v>
      </c>
      <c r="E109" s="21" t="s">
        <v>44</v>
      </c>
      <c r="F109" s="21" t="s">
        <v>50</v>
      </c>
      <c r="G109" s="21" t="s">
        <v>66</v>
      </c>
      <c r="H109" s="21" t="s">
        <v>79</v>
      </c>
      <c r="I109" s="23">
        <v>327</v>
      </c>
      <c r="J109" s="24">
        <v>624.29</v>
      </c>
      <c r="K109" s="25">
        <v>0.14729999999999999</v>
      </c>
      <c r="L109" s="24">
        <v>174072.59</v>
      </c>
      <c r="M109" s="24">
        <v>71834.66</v>
      </c>
    </row>
    <row r="110" spans="1:13" ht="16.5" customHeight="1" x14ac:dyDescent="0.25">
      <c r="A110" s="16" t="s">
        <v>166</v>
      </c>
      <c r="B110" s="17">
        <v>45618</v>
      </c>
      <c r="C110" s="16" t="s">
        <v>159</v>
      </c>
      <c r="D110" s="16" t="s">
        <v>150</v>
      </c>
      <c r="E110" s="16" t="s">
        <v>83</v>
      </c>
      <c r="F110" s="16" t="s">
        <v>34</v>
      </c>
      <c r="G110" s="16" t="s">
        <v>66</v>
      </c>
      <c r="H110" s="16" t="s">
        <v>28</v>
      </c>
      <c r="I110" s="18">
        <v>37</v>
      </c>
      <c r="J110" s="19">
        <v>68.73</v>
      </c>
      <c r="K110" s="20">
        <v>0.14599999999999999</v>
      </c>
      <c r="L110" s="19">
        <v>2171.73</v>
      </c>
      <c r="M110" s="19">
        <v>960.71</v>
      </c>
    </row>
    <row r="111" spans="1:13" ht="16.5" customHeight="1" x14ac:dyDescent="0.25">
      <c r="A111" s="21" t="s">
        <v>167</v>
      </c>
      <c r="B111" s="22">
        <v>45619</v>
      </c>
      <c r="C111" s="21" t="s">
        <v>159</v>
      </c>
      <c r="D111" s="21" t="s">
        <v>150</v>
      </c>
      <c r="E111" s="21" t="s">
        <v>40</v>
      </c>
      <c r="F111" s="21" t="s">
        <v>34</v>
      </c>
      <c r="G111" s="21" t="s">
        <v>31</v>
      </c>
      <c r="H111" s="21" t="s">
        <v>37</v>
      </c>
      <c r="I111" s="23">
        <v>456</v>
      </c>
      <c r="J111" s="24">
        <v>176.3</v>
      </c>
      <c r="K111" s="25">
        <v>2.9899999999999999E-2</v>
      </c>
      <c r="L111" s="24">
        <v>77989.06</v>
      </c>
      <c r="M111" s="24">
        <v>26899.98</v>
      </c>
    </row>
    <row r="112" spans="1:13" ht="16.5" customHeight="1" x14ac:dyDescent="0.25">
      <c r="A112" s="16" t="s">
        <v>168</v>
      </c>
      <c r="B112" s="17">
        <v>45623</v>
      </c>
      <c r="C112" s="16" t="s">
        <v>159</v>
      </c>
      <c r="D112" s="16" t="s">
        <v>150</v>
      </c>
      <c r="E112" s="16" t="s">
        <v>16</v>
      </c>
      <c r="F112" s="16" t="s">
        <v>50</v>
      </c>
      <c r="G112" s="16" t="s">
        <v>66</v>
      </c>
      <c r="H112" s="16" t="s">
        <v>24</v>
      </c>
      <c r="I112" s="18">
        <v>284</v>
      </c>
      <c r="J112" s="19">
        <v>2686.53</v>
      </c>
      <c r="K112" s="20">
        <v>5.0000000000000001E-3</v>
      </c>
      <c r="L112" s="19">
        <v>759159.65</v>
      </c>
      <c r="M112" s="19">
        <v>327619.71999999997</v>
      </c>
    </row>
    <row r="113" spans="1:13" ht="16.5" customHeight="1" x14ac:dyDescent="0.25">
      <c r="A113" s="21" t="s">
        <v>169</v>
      </c>
      <c r="B113" s="22">
        <v>45624</v>
      </c>
      <c r="C113" s="21" t="s">
        <v>159</v>
      </c>
      <c r="D113" s="21" t="s">
        <v>150</v>
      </c>
      <c r="E113" s="21" t="s">
        <v>21</v>
      </c>
      <c r="F113" s="21" t="s">
        <v>22</v>
      </c>
      <c r="G113" s="21" t="s">
        <v>23</v>
      </c>
      <c r="H113" s="21" t="s">
        <v>75</v>
      </c>
      <c r="I113" s="23">
        <v>395</v>
      </c>
      <c r="J113" s="24">
        <v>84.81</v>
      </c>
      <c r="K113" s="25">
        <v>0.15709999999999999</v>
      </c>
      <c r="L113" s="24">
        <v>28237.11</v>
      </c>
      <c r="M113" s="24">
        <v>10902.62</v>
      </c>
    </row>
    <row r="114" spans="1:13" ht="16.5" customHeight="1" x14ac:dyDescent="0.25">
      <c r="A114" s="16" t="s">
        <v>170</v>
      </c>
      <c r="B114" s="17">
        <v>45630</v>
      </c>
      <c r="C114" s="16" t="s">
        <v>171</v>
      </c>
      <c r="D114" s="16" t="s">
        <v>150</v>
      </c>
      <c r="E114" s="16" t="s">
        <v>21</v>
      </c>
      <c r="F114" s="16" t="s">
        <v>22</v>
      </c>
      <c r="G114" s="16" t="s">
        <v>45</v>
      </c>
      <c r="H114" s="16" t="s">
        <v>41</v>
      </c>
      <c r="I114" s="18">
        <v>205</v>
      </c>
      <c r="J114" s="19">
        <v>92.59</v>
      </c>
      <c r="K114" s="20">
        <v>0.1545</v>
      </c>
      <c r="L114" s="19">
        <v>16048.39</v>
      </c>
      <c r="M114" s="19">
        <v>5349.97</v>
      </c>
    </row>
    <row r="115" spans="1:13" ht="16.5" customHeight="1" x14ac:dyDescent="0.25">
      <c r="A115" s="21" t="s">
        <v>172</v>
      </c>
      <c r="B115" s="22">
        <v>45633</v>
      </c>
      <c r="C115" s="21" t="s">
        <v>171</v>
      </c>
      <c r="D115" s="21" t="s">
        <v>150</v>
      </c>
      <c r="E115" s="21" t="s">
        <v>40</v>
      </c>
      <c r="F115" s="21" t="s">
        <v>17</v>
      </c>
      <c r="G115" s="21" t="s">
        <v>66</v>
      </c>
      <c r="H115" s="21" t="s">
        <v>79</v>
      </c>
      <c r="I115" s="23">
        <v>171</v>
      </c>
      <c r="J115" s="24">
        <v>177.2</v>
      </c>
      <c r="K115" s="25">
        <v>9.6500000000000002E-2</v>
      </c>
      <c r="L115" s="24">
        <v>27377.13</v>
      </c>
      <c r="M115" s="24">
        <v>11343.12</v>
      </c>
    </row>
    <row r="116" spans="1:13" ht="16.5" customHeight="1" x14ac:dyDescent="0.25">
      <c r="A116" s="16" t="s">
        <v>173</v>
      </c>
      <c r="B116" s="17">
        <v>45635</v>
      </c>
      <c r="C116" s="16" t="s">
        <v>171</v>
      </c>
      <c r="D116" s="16" t="s">
        <v>150</v>
      </c>
      <c r="E116" s="16" t="s">
        <v>30</v>
      </c>
      <c r="F116" s="16" t="s">
        <v>34</v>
      </c>
      <c r="G116" s="16" t="s">
        <v>66</v>
      </c>
      <c r="H116" s="16" t="s">
        <v>41</v>
      </c>
      <c r="I116" s="18">
        <v>402</v>
      </c>
      <c r="J116" s="19">
        <v>222.76</v>
      </c>
      <c r="K116" s="20">
        <v>0.1091</v>
      </c>
      <c r="L116" s="19">
        <v>79779.67</v>
      </c>
      <c r="M116" s="19">
        <v>35466.870000000003</v>
      </c>
    </row>
    <row r="117" spans="1:13" ht="16.5" customHeight="1" x14ac:dyDescent="0.25">
      <c r="A117" s="21" t="s">
        <v>174</v>
      </c>
      <c r="B117" s="22">
        <v>45639</v>
      </c>
      <c r="C117" s="21" t="s">
        <v>171</v>
      </c>
      <c r="D117" s="21" t="s">
        <v>150</v>
      </c>
      <c r="E117" s="21" t="s">
        <v>83</v>
      </c>
      <c r="F117" s="21" t="s">
        <v>27</v>
      </c>
      <c r="G117" s="21" t="s">
        <v>23</v>
      </c>
      <c r="H117" s="21" t="s">
        <v>37</v>
      </c>
      <c r="I117" s="23">
        <v>342</v>
      </c>
      <c r="J117" s="24">
        <v>67.45</v>
      </c>
      <c r="K117" s="25">
        <v>5.91E-2</v>
      </c>
      <c r="L117" s="24">
        <v>21704.59</v>
      </c>
      <c r="M117" s="24">
        <v>8706.8700000000008</v>
      </c>
    </row>
    <row r="118" spans="1:13" ht="16.5" customHeight="1" x14ac:dyDescent="0.25">
      <c r="A118" s="16" t="s">
        <v>175</v>
      </c>
      <c r="B118" s="17">
        <v>45641</v>
      </c>
      <c r="C118" s="16" t="s">
        <v>171</v>
      </c>
      <c r="D118" s="16" t="s">
        <v>150</v>
      </c>
      <c r="E118" s="16" t="s">
        <v>36</v>
      </c>
      <c r="F118" s="16" t="s">
        <v>50</v>
      </c>
      <c r="G118" s="16" t="s">
        <v>18</v>
      </c>
      <c r="H118" s="16" t="s">
        <v>37</v>
      </c>
      <c r="I118" s="18">
        <v>284</v>
      </c>
      <c r="J118" s="19">
        <v>109.19</v>
      </c>
      <c r="K118" s="20">
        <v>0.16600000000000001</v>
      </c>
      <c r="L118" s="19">
        <v>25862.31</v>
      </c>
      <c r="M118" s="19">
        <v>8064.39</v>
      </c>
    </row>
    <row r="119" spans="1:13" ht="16.5" customHeight="1" x14ac:dyDescent="0.25">
      <c r="A119" s="21" t="s">
        <v>176</v>
      </c>
      <c r="B119" s="22">
        <v>45644</v>
      </c>
      <c r="C119" s="21" t="s">
        <v>171</v>
      </c>
      <c r="D119" s="21" t="s">
        <v>150</v>
      </c>
      <c r="E119" s="21" t="s">
        <v>40</v>
      </c>
      <c r="F119" s="21" t="s">
        <v>17</v>
      </c>
      <c r="G119" s="21" t="s">
        <v>45</v>
      </c>
      <c r="H119" s="21" t="s">
        <v>32</v>
      </c>
      <c r="I119" s="23">
        <v>89</v>
      </c>
      <c r="J119" s="24">
        <v>184.35</v>
      </c>
      <c r="K119" s="25">
        <v>0.1089</v>
      </c>
      <c r="L119" s="24">
        <v>14620.41</v>
      </c>
      <c r="M119" s="24">
        <v>5959.89</v>
      </c>
    </row>
    <row r="120" spans="1:13" ht="16.5" customHeight="1" x14ac:dyDescent="0.25">
      <c r="A120" s="16" t="s">
        <v>177</v>
      </c>
      <c r="B120" s="17">
        <v>45649</v>
      </c>
      <c r="C120" s="16" t="s">
        <v>171</v>
      </c>
      <c r="D120" s="16" t="s">
        <v>150</v>
      </c>
      <c r="E120" s="16" t="s">
        <v>69</v>
      </c>
      <c r="F120" s="16" t="s">
        <v>34</v>
      </c>
      <c r="G120" s="16" t="s">
        <v>31</v>
      </c>
      <c r="H120" s="16" t="s">
        <v>19</v>
      </c>
      <c r="I120" s="18">
        <v>206</v>
      </c>
      <c r="J120" s="19">
        <v>149.80000000000001</v>
      </c>
      <c r="K120" s="20">
        <v>4.3900000000000002E-2</v>
      </c>
      <c r="L120" s="19">
        <v>29504.1</v>
      </c>
      <c r="M120" s="19">
        <v>11754.69</v>
      </c>
    </row>
    <row r="121" spans="1:13" ht="16.5" customHeight="1" x14ac:dyDescent="0.25">
      <c r="A121" s="21" t="s">
        <v>178</v>
      </c>
      <c r="B121" s="22">
        <v>45653</v>
      </c>
      <c r="C121" s="21" t="s">
        <v>171</v>
      </c>
      <c r="D121" s="21" t="s">
        <v>150</v>
      </c>
      <c r="E121" s="21" t="s">
        <v>83</v>
      </c>
      <c r="F121" s="21" t="s">
        <v>27</v>
      </c>
      <c r="G121" s="21" t="s">
        <v>31</v>
      </c>
      <c r="H121" s="21" t="s">
        <v>24</v>
      </c>
      <c r="I121" s="23">
        <v>331</v>
      </c>
      <c r="J121" s="24">
        <v>70.37</v>
      </c>
      <c r="K121" s="25">
        <v>0.1255</v>
      </c>
      <c r="L121" s="24">
        <v>20369.27</v>
      </c>
      <c r="M121" s="24">
        <v>7032.23</v>
      </c>
    </row>
  </sheetData>
  <autoFilter ref="A1:M1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topLeftCell="A31" zoomScaleNormal="100" workbookViewId="0">
      <selection activeCell="D15" sqref="D15"/>
    </sheetView>
  </sheetViews>
  <sheetFormatPr defaultColWidth="8.7109375" defaultRowHeight="15" x14ac:dyDescent="0.25"/>
  <cols>
    <col min="1" max="2" width="16" customWidth="1"/>
    <col min="3" max="3" width="14" customWidth="1"/>
    <col min="4" max="4" width="18" customWidth="1"/>
  </cols>
  <sheetData>
    <row r="1" spans="1:4" ht="24" customHeight="1" x14ac:dyDescent="0.25">
      <c r="A1" s="14" t="s">
        <v>179</v>
      </c>
      <c r="B1" s="14"/>
      <c r="C1" s="14"/>
      <c r="D1" s="14"/>
    </row>
    <row r="2" spans="1:4" ht="15" customHeight="1" x14ac:dyDescent="0.25">
      <c r="A2" s="26" t="s">
        <v>2</v>
      </c>
      <c r="B2" s="26" t="s">
        <v>11</v>
      </c>
      <c r="C2" s="26" t="s">
        <v>8</v>
      </c>
      <c r="D2" s="26" t="s">
        <v>180</v>
      </c>
    </row>
    <row r="3" spans="1:4" ht="15" customHeight="1" x14ac:dyDescent="0.25">
      <c r="A3" s="27" t="s">
        <v>14</v>
      </c>
      <c r="B3" s="28">
        <v>1675040.09</v>
      </c>
      <c r="C3" s="29">
        <v>3075</v>
      </c>
      <c r="D3" s="28">
        <v>1068329.32</v>
      </c>
    </row>
    <row r="4" spans="1:4" ht="15" customHeight="1" x14ac:dyDescent="0.25">
      <c r="A4" s="30" t="s">
        <v>49</v>
      </c>
      <c r="B4" s="31">
        <v>1884745.08</v>
      </c>
      <c r="C4" s="32">
        <v>1649</v>
      </c>
      <c r="D4" s="31">
        <v>1129100.44</v>
      </c>
    </row>
    <row r="5" spans="1:4" ht="15" customHeight="1" x14ac:dyDescent="0.25">
      <c r="A5" s="27" t="s">
        <v>60</v>
      </c>
      <c r="B5" s="28">
        <v>279627.7</v>
      </c>
      <c r="C5" s="29">
        <v>1531</v>
      </c>
      <c r="D5" s="28">
        <v>171626.39</v>
      </c>
    </row>
    <row r="6" spans="1:4" ht="15" customHeight="1" x14ac:dyDescent="0.25">
      <c r="A6" s="30" t="s">
        <v>72</v>
      </c>
      <c r="B6" s="31">
        <v>374652.93</v>
      </c>
      <c r="C6" s="32">
        <v>2695</v>
      </c>
      <c r="D6" s="31">
        <v>239807.32</v>
      </c>
    </row>
    <row r="7" spans="1:4" ht="15" customHeight="1" x14ac:dyDescent="0.25">
      <c r="A7" s="27" t="s">
        <v>89</v>
      </c>
      <c r="B7" s="28">
        <v>1392634.65</v>
      </c>
      <c r="C7" s="29">
        <v>2895</v>
      </c>
      <c r="D7" s="28">
        <v>888537.86</v>
      </c>
    </row>
    <row r="8" spans="1:4" ht="15" customHeight="1" x14ac:dyDescent="0.25">
      <c r="A8" s="30" t="s">
        <v>102</v>
      </c>
      <c r="B8" s="31">
        <v>1658627.14</v>
      </c>
      <c r="C8" s="32">
        <v>2932</v>
      </c>
      <c r="D8" s="31">
        <v>1069523.1000000001</v>
      </c>
    </row>
    <row r="9" spans="1:4" ht="15" customHeight="1" x14ac:dyDescent="0.25">
      <c r="A9" s="27" t="s">
        <v>113</v>
      </c>
      <c r="B9" s="28">
        <v>645883.99</v>
      </c>
      <c r="C9" s="29">
        <v>2321</v>
      </c>
      <c r="D9" s="28">
        <v>398649.39</v>
      </c>
    </row>
    <row r="10" spans="1:4" ht="15" customHeight="1" x14ac:dyDescent="0.25">
      <c r="A10" s="30" t="s">
        <v>122</v>
      </c>
      <c r="B10" s="31">
        <v>1658720.01</v>
      </c>
      <c r="C10" s="32">
        <v>3180</v>
      </c>
      <c r="D10" s="31">
        <v>1011553.56</v>
      </c>
    </row>
    <row r="11" spans="1:4" ht="15" customHeight="1" x14ac:dyDescent="0.25">
      <c r="A11" s="27" t="s">
        <v>135</v>
      </c>
      <c r="B11" s="28">
        <v>1112394.97</v>
      </c>
      <c r="C11" s="29">
        <v>3349</v>
      </c>
      <c r="D11" s="28">
        <v>707087.17</v>
      </c>
    </row>
    <row r="12" spans="1:4" ht="15" customHeight="1" x14ac:dyDescent="0.25">
      <c r="A12" s="30" t="s">
        <v>149</v>
      </c>
      <c r="B12" s="31">
        <v>908422.23</v>
      </c>
      <c r="C12" s="32">
        <v>1418</v>
      </c>
      <c r="D12" s="31">
        <v>558234.81000000006</v>
      </c>
    </row>
    <row r="13" spans="1:4" ht="15" customHeight="1" x14ac:dyDescent="0.25">
      <c r="A13" s="27" t="s">
        <v>159</v>
      </c>
      <c r="B13" s="28">
        <v>1879514.19</v>
      </c>
      <c r="C13" s="29">
        <v>3002</v>
      </c>
      <c r="D13" s="28">
        <v>1151443.04</v>
      </c>
    </row>
    <row r="14" spans="1:4" ht="15" customHeight="1" x14ac:dyDescent="0.25">
      <c r="A14" s="30" t="s">
        <v>171</v>
      </c>
      <c r="B14" s="31">
        <v>235265.87</v>
      </c>
      <c r="C14" s="32">
        <v>2030</v>
      </c>
      <c r="D14" s="31">
        <v>141587.84</v>
      </c>
    </row>
    <row r="15" spans="1:4" ht="15" customHeight="1" x14ac:dyDescent="0.25">
      <c r="A15" s="33" t="s">
        <v>181</v>
      </c>
      <c r="B15" s="34">
        <f>SUM(B3:B14)</f>
        <v>13705528.85</v>
      </c>
      <c r="C15" s="35">
        <f>SUM(C3:C14)</f>
        <v>30077</v>
      </c>
      <c r="D15" s="34">
        <f>SUM(D3:D14)</f>
        <v>8535480.2399999984</v>
      </c>
    </row>
    <row r="20" spans="1:4" ht="24" customHeight="1" x14ac:dyDescent="0.25">
      <c r="A20" s="14" t="s">
        <v>182</v>
      </c>
      <c r="B20" s="14"/>
      <c r="C20" s="14"/>
      <c r="D20" s="14"/>
    </row>
    <row r="21" spans="1:4" ht="15" customHeight="1" x14ac:dyDescent="0.25">
      <c r="A21" s="26" t="s">
        <v>4</v>
      </c>
      <c r="B21" s="26" t="s">
        <v>11</v>
      </c>
      <c r="C21" s="26" t="s">
        <v>183</v>
      </c>
      <c r="D21" s="26" t="s">
        <v>184</v>
      </c>
    </row>
    <row r="22" spans="1:4" ht="15" customHeight="1" x14ac:dyDescent="0.25">
      <c r="A22" s="30" t="s">
        <v>16</v>
      </c>
      <c r="B22" s="31">
        <v>8583904.0199999996</v>
      </c>
      <c r="C22" s="36">
        <v>62.6</v>
      </c>
      <c r="D22" s="30">
        <v>1</v>
      </c>
    </row>
    <row r="23" spans="1:4" ht="15" customHeight="1" x14ac:dyDescent="0.25">
      <c r="A23" s="27" t="s">
        <v>44</v>
      </c>
      <c r="B23" s="28">
        <v>2165242.34</v>
      </c>
      <c r="C23" s="37">
        <v>15.8</v>
      </c>
      <c r="D23" s="27">
        <v>2</v>
      </c>
    </row>
    <row r="24" spans="1:4" ht="15" customHeight="1" x14ac:dyDescent="0.25">
      <c r="A24" s="30" t="s">
        <v>30</v>
      </c>
      <c r="B24" s="31">
        <v>966414</v>
      </c>
      <c r="C24" s="36">
        <v>7.1</v>
      </c>
      <c r="D24" s="30">
        <v>3</v>
      </c>
    </row>
    <row r="25" spans="1:4" ht="15" customHeight="1" x14ac:dyDescent="0.25">
      <c r="A25" s="27" t="s">
        <v>40</v>
      </c>
      <c r="B25" s="28">
        <v>443411.64</v>
      </c>
      <c r="C25" s="37">
        <v>3.2</v>
      </c>
      <c r="D25" s="27">
        <v>4</v>
      </c>
    </row>
    <row r="26" spans="1:4" ht="15" customHeight="1" x14ac:dyDescent="0.25">
      <c r="A26" s="30" t="s">
        <v>69</v>
      </c>
      <c r="B26" s="31">
        <v>385125.28</v>
      </c>
      <c r="C26" s="36">
        <v>2.8</v>
      </c>
      <c r="D26" s="30">
        <v>5</v>
      </c>
    </row>
    <row r="27" spans="1:4" ht="15" customHeight="1" x14ac:dyDescent="0.25">
      <c r="A27" s="27" t="s">
        <v>36</v>
      </c>
      <c r="B27" s="28">
        <v>317134.40000000002</v>
      </c>
      <c r="C27" s="37">
        <v>2.2999999999999998</v>
      </c>
      <c r="D27" s="27">
        <v>6</v>
      </c>
    </row>
    <row r="28" spans="1:4" ht="15" customHeight="1" x14ac:dyDescent="0.25">
      <c r="A28" s="30" t="s">
        <v>26</v>
      </c>
      <c r="B28" s="31">
        <v>297823.44</v>
      </c>
      <c r="C28" s="36">
        <v>2.2000000000000002</v>
      </c>
      <c r="D28" s="30">
        <v>7</v>
      </c>
    </row>
    <row r="29" spans="1:4" ht="15" customHeight="1" x14ac:dyDescent="0.25">
      <c r="A29" s="27" t="s">
        <v>21</v>
      </c>
      <c r="B29" s="28">
        <v>264905.06</v>
      </c>
      <c r="C29" s="37">
        <v>1.9</v>
      </c>
      <c r="D29" s="27">
        <v>8</v>
      </c>
    </row>
    <row r="30" spans="1:4" ht="15" customHeight="1" x14ac:dyDescent="0.25">
      <c r="A30" s="30" t="s">
        <v>83</v>
      </c>
      <c r="B30" s="31">
        <v>149726.66</v>
      </c>
      <c r="C30" s="36">
        <v>1.1000000000000001</v>
      </c>
      <c r="D30" s="30">
        <v>9</v>
      </c>
    </row>
    <row r="31" spans="1:4" ht="15" customHeight="1" x14ac:dyDescent="0.25">
      <c r="A31" s="27" t="s">
        <v>62</v>
      </c>
      <c r="B31" s="28">
        <v>131842.01</v>
      </c>
      <c r="C31" s="37">
        <v>1</v>
      </c>
      <c r="D31" s="27">
        <v>10</v>
      </c>
    </row>
  </sheetData>
  <mergeCells count="2">
    <mergeCell ref="A1:D1"/>
    <mergeCell ref="A20:D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topLeftCell="A7" zoomScale="90" zoomScaleNormal="90" workbookViewId="0">
      <selection activeCell="G15" sqref="G15"/>
    </sheetView>
  </sheetViews>
  <sheetFormatPr defaultColWidth="8.7109375" defaultRowHeight="15" x14ac:dyDescent="0.25"/>
  <cols>
    <col min="1" max="1" width="14" customWidth="1"/>
    <col min="2" max="2" width="16" customWidth="1"/>
    <col min="3" max="3" width="12" customWidth="1"/>
    <col min="4" max="4" width="16" customWidth="1"/>
    <col min="5" max="5" width="14" customWidth="1"/>
    <col min="6" max="6" width="2" customWidth="1"/>
    <col min="7" max="7" width="14" customWidth="1"/>
    <col min="8" max="8" width="16" customWidth="1"/>
    <col min="9" max="9" width="12" customWidth="1"/>
    <col min="10" max="10" width="10" customWidth="1"/>
    <col min="11" max="11" width="14" customWidth="1"/>
  </cols>
  <sheetData>
    <row r="1" spans="1:11" ht="39.75" customHeight="1" x14ac:dyDescent="0.25">
      <c r="A1" s="13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3" spans="1:11" ht="21.75" customHeight="1" x14ac:dyDescent="0.25">
      <c r="A3" s="12" t="s">
        <v>186</v>
      </c>
      <c r="B3" s="12"/>
      <c r="C3" s="11" t="s">
        <v>187</v>
      </c>
      <c r="D3" s="11"/>
      <c r="E3" s="10" t="s">
        <v>188</v>
      </c>
      <c r="F3" s="10"/>
      <c r="G3" s="9" t="s">
        <v>189</v>
      </c>
      <c r="H3" s="9"/>
      <c r="I3" s="8" t="s">
        <v>190</v>
      </c>
      <c r="J3" s="8"/>
    </row>
    <row r="4" spans="1:11" ht="21.75" customHeight="1" x14ac:dyDescent="0.25">
      <c r="A4" s="7" t="s">
        <v>191</v>
      </c>
      <c r="B4" s="7"/>
      <c r="C4" s="6" t="s">
        <v>192</v>
      </c>
      <c r="D4" s="6"/>
      <c r="E4" s="5" t="s">
        <v>193</v>
      </c>
      <c r="F4" s="5"/>
      <c r="G4" s="4" t="s">
        <v>194</v>
      </c>
      <c r="H4" s="4"/>
      <c r="I4" s="3" t="s">
        <v>195</v>
      </c>
      <c r="J4" s="3"/>
    </row>
    <row r="5" spans="1:11" ht="21.75" customHeight="1" x14ac:dyDescent="0.25">
      <c r="A5" s="2" t="s">
        <v>196</v>
      </c>
      <c r="B5" s="2"/>
      <c r="C5" s="1" t="s">
        <v>196</v>
      </c>
      <c r="D5" s="1"/>
      <c r="E5" s="39" t="s">
        <v>196</v>
      </c>
      <c r="F5" s="39"/>
      <c r="G5" s="40" t="s">
        <v>196</v>
      </c>
      <c r="H5" s="40"/>
      <c r="I5" s="41" t="s">
        <v>196</v>
      </c>
      <c r="J5" s="41"/>
    </row>
    <row r="7" spans="1:11" ht="24" customHeight="1" x14ac:dyDescent="0.25">
      <c r="A7" s="14" t="s">
        <v>197</v>
      </c>
      <c r="B7" s="14"/>
      <c r="C7" s="14"/>
      <c r="D7" s="14"/>
      <c r="E7" s="14"/>
      <c r="G7" s="14" t="s">
        <v>198</v>
      </c>
      <c r="H7" s="14"/>
      <c r="I7" s="14"/>
      <c r="J7" s="14"/>
      <c r="K7" s="14"/>
    </row>
    <row r="8" spans="1:11" ht="15" customHeight="1" x14ac:dyDescent="0.25">
      <c r="A8" s="26" t="s">
        <v>5</v>
      </c>
      <c r="B8" s="26" t="s">
        <v>11</v>
      </c>
      <c r="C8" s="26" t="s">
        <v>199</v>
      </c>
      <c r="D8" s="26" t="s">
        <v>200</v>
      </c>
      <c r="E8" s="26" t="s">
        <v>201</v>
      </c>
      <c r="G8" s="26" t="s">
        <v>6</v>
      </c>
      <c r="H8" s="26" t="s">
        <v>11</v>
      </c>
      <c r="I8" s="26" t="s">
        <v>199</v>
      </c>
      <c r="J8" s="26" t="s">
        <v>202</v>
      </c>
      <c r="K8" s="26" t="s">
        <v>203</v>
      </c>
    </row>
    <row r="9" spans="1:11" ht="15" customHeight="1" x14ac:dyDescent="0.25">
      <c r="A9" s="27" t="s">
        <v>50</v>
      </c>
      <c r="B9" s="28">
        <v>4553226.05</v>
      </c>
      <c r="C9" s="29">
        <v>6892</v>
      </c>
      <c r="D9" s="28">
        <v>2738998.4</v>
      </c>
      <c r="E9" s="37">
        <v>60.2</v>
      </c>
      <c r="G9" s="27" t="s">
        <v>18</v>
      </c>
      <c r="H9" s="28">
        <v>4385003.2699999996</v>
      </c>
      <c r="I9" s="29">
        <v>7253</v>
      </c>
      <c r="J9" s="29">
        <v>25</v>
      </c>
      <c r="K9" s="28">
        <v>175400.13</v>
      </c>
    </row>
    <row r="10" spans="1:11" ht="15" customHeight="1" x14ac:dyDescent="0.25">
      <c r="A10" s="30" t="s">
        <v>34</v>
      </c>
      <c r="B10" s="31">
        <v>3253653.03</v>
      </c>
      <c r="C10" s="32">
        <v>5979</v>
      </c>
      <c r="D10" s="31">
        <v>2017555.63</v>
      </c>
      <c r="E10" s="36">
        <v>62</v>
      </c>
      <c r="G10" s="30" t="s">
        <v>66</v>
      </c>
      <c r="H10" s="31">
        <v>3240505.21</v>
      </c>
      <c r="I10" s="32">
        <v>6987</v>
      </c>
      <c r="J10" s="32">
        <v>32</v>
      </c>
      <c r="K10" s="31">
        <v>101265.79</v>
      </c>
    </row>
    <row r="11" spans="1:11" ht="15" customHeight="1" x14ac:dyDescent="0.25">
      <c r="A11" s="27" t="s">
        <v>22</v>
      </c>
      <c r="B11" s="28">
        <v>2784406.55</v>
      </c>
      <c r="C11" s="29">
        <v>6638</v>
      </c>
      <c r="D11" s="28">
        <v>1774204.38</v>
      </c>
      <c r="E11" s="37">
        <v>63.7</v>
      </c>
      <c r="G11" s="27" t="s">
        <v>31</v>
      </c>
      <c r="H11" s="28">
        <v>2463080.66</v>
      </c>
      <c r="I11" s="29">
        <v>3984</v>
      </c>
      <c r="J11" s="29">
        <v>18</v>
      </c>
      <c r="K11" s="28">
        <v>136837.81</v>
      </c>
    </row>
    <row r="12" spans="1:11" ht="15" customHeight="1" x14ac:dyDescent="0.25">
      <c r="A12" s="30" t="s">
        <v>17</v>
      </c>
      <c r="B12" s="31">
        <v>1659452.7</v>
      </c>
      <c r="C12" s="32">
        <v>4923</v>
      </c>
      <c r="D12" s="31">
        <v>1079956.67</v>
      </c>
      <c r="E12" s="36">
        <v>65.099999999999994</v>
      </c>
      <c r="G12" s="30" t="s">
        <v>23</v>
      </c>
      <c r="H12" s="31">
        <v>2032242.59</v>
      </c>
      <c r="I12" s="32">
        <v>6533</v>
      </c>
      <c r="J12" s="32">
        <v>24</v>
      </c>
      <c r="K12" s="31">
        <v>84676.77</v>
      </c>
    </row>
    <row r="13" spans="1:11" ht="15" customHeight="1" x14ac:dyDescent="0.25">
      <c r="A13" s="27" t="s">
        <v>27</v>
      </c>
      <c r="B13" s="28">
        <v>1454790.52</v>
      </c>
      <c r="C13" s="29">
        <v>5645</v>
      </c>
      <c r="D13" s="28">
        <v>924765.16</v>
      </c>
      <c r="E13" s="37">
        <v>63.6</v>
      </c>
      <c r="G13" s="27" t="s">
        <v>45</v>
      </c>
      <c r="H13" s="28">
        <v>1584697.12</v>
      </c>
      <c r="I13" s="29">
        <v>5320</v>
      </c>
      <c r="J13" s="29">
        <v>21</v>
      </c>
      <c r="K13" s="28">
        <v>75461.77</v>
      </c>
    </row>
  </sheetData>
  <mergeCells count="18">
    <mergeCell ref="A7:E7"/>
    <mergeCell ref="G7:K7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1:J1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zoomScaleNormal="100" workbookViewId="0"/>
  </sheetViews>
  <sheetFormatPr defaultColWidth="8.7109375" defaultRowHeight="15" x14ac:dyDescent="0.25"/>
  <sheetData>
    <row r="1" spans="1:4" ht="15" customHeight="1" x14ac:dyDescent="0.25">
      <c r="A1" s="38" t="s">
        <v>204</v>
      </c>
      <c r="B1" s="38" t="s">
        <v>205</v>
      </c>
      <c r="C1" s="38" t="s">
        <v>206</v>
      </c>
      <c r="D1" s="38" t="s">
        <v>207</v>
      </c>
    </row>
    <row r="2" spans="1:4" ht="15" customHeight="1" x14ac:dyDescent="0.25">
      <c r="A2" t="s">
        <v>36</v>
      </c>
      <c r="B2" t="s">
        <v>34</v>
      </c>
      <c r="C2" t="s">
        <v>31</v>
      </c>
      <c r="D2" t="s">
        <v>51</v>
      </c>
    </row>
    <row r="3" spans="1:4" ht="15" customHeight="1" x14ac:dyDescent="0.25">
      <c r="A3" t="s">
        <v>40</v>
      </c>
      <c r="B3" t="s">
        <v>17</v>
      </c>
      <c r="C3" t="s">
        <v>66</v>
      </c>
      <c r="D3" t="s">
        <v>28</v>
      </c>
    </row>
    <row r="4" spans="1:4" ht="15" customHeight="1" x14ac:dyDescent="0.25">
      <c r="A4" t="s">
        <v>21</v>
      </c>
      <c r="B4" t="s">
        <v>50</v>
      </c>
      <c r="C4" t="s">
        <v>45</v>
      </c>
      <c r="D4" t="s">
        <v>58</v>
      </c>
    </row>
    <row r="5" spans="1:4" ht="15" customHeight="1" x14ac:dyDescent="0.25">
      <c r="A5" t="s">
        <v>69</v>
      </c>
      <c r="B5" t="s">
        <v>22</v>
      </c>
      <c r="C5" t="s">
        <v>23</v>
      </c>
      <c r="D5" t="s">
        <v>79</v>
      </c>
    </row>
    <row r="6" spans="1:4" ht="15" customHeight="1" x14ac:dyDescent="0.25">
      <c r="A6" t="s">
        <v>26</v>
      </c>
      <c r="B6" t="s">
        <v>27</v>
      </c>
      <c r="C6" t="s">
        <v>18</v>
      </c>
      <c r="D6" t="s">
        <v>41</v>
      </c>
    </row>
    <row r="7" spans="1:4" ht="15" customHeight="1" x14ac:dyDescent="0.25">
      <c r="A7" t="s">
        <v>62</v>
      </c>
      <c r="D7" t="s">
        <v>37</v>
      </c>
    </row>
    <row r="8" spans="1:4" ht="15" customHeight="1" x14ac:dyDescent="0.25">
      <c r="A8" t="s">
        <v>16</v>
      </c>
      <c r="D8" t="s">
        <v>19</v>
      </c>
    </row>
    <row r="9" spans="1:4" ht="15" customHeight="1" x14ac:dyDescent="0.25">
      <c r="A9" t="s">
        <v>30</v>
      </c>
      <c r="D9" t="s">
        <v>75</v>
      </c>
    </row>
    <row r="10" spans="1:4" ht="15" customHeight="1" x14ac:dyDescent="0.25">
      <c r="A10" t="s">
        <v>44</v>
      </c>
      <c r="D10" t="s">
        <v>32</v>
      </c>
    </row>
    <row r="11" spans="1:4" ht="15" customHeight="1" x14ac:dyDescent="0.25">
      <c r="A11" t="s">
        <v>83</v>
      </c>
      <c r="D11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Revenue Analysis</vt:lpstr>
      <vt:lpstr>KPI Dashboard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Taher Kapasi</cp:lastModifiedBy>
  <cp:revision>2</cp:revision>
  <dcterms:created xsi:type="dcterms:W3CDTF">2026-06-28T06:18:55Z</dcterms:created>
  <dcterms:modified xsi:type="dcterms:W3CDTF">2026-06-28T06:38:41Z</dcterms:modified>
  <dc:language>en-US</dc:language>
</cp:coreProperties>
</file>